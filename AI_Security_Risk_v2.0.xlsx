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User Guide" sheetId="2" state="visible" r:id="rId2"/>
    <sheet xmlns:r="http://schemas.openxmlformats.org/officeDocument/2006/relationships" name="Governance Guide" sheetId="3" state="visible" r:id="rId3"/>
    <sheet xmlns:r="http://schemas.openxmlformats.org/officeDocument/2006/relationships" name="Tool Function Mapping" sheetId="4" state="visible" r:id="rId4"/>
    <sheet xmlns:r="http://schemas.openxmlformats.org/officeDocument/2006/relationships" name="Intake Form" sheetId="5" state="visible" r:id="rId5"/>
    <sheet xmlns:r="http://schemas.openxmlformats.org/officeDocument/2006/relationships" name="Guardrail Checklist" sheetId="6" state="visible" r:id="rId6"/>
    <sheet xmlns:r="http://schemas.openxmlformats.org/officeDocument/2006/relationships" name="Tool Registry" sheetId="7" state="visible" r:id="rId7"/>
    <sheet xmlns:r="http://schemas.openxmlformats.org/officeDocument/2006/relationships" name="Exception Tracker" sheetId="8" state="visible" r:id="rId8"/>
    <sheet xmlns:r="http://schemas.openxmlformats.org/officeDocument/2006/relationships" name="AI Security Tool Landscape" sheetId="9" state="visible" r:id="rId9"/>
    <sheet xmlns:r="http://schemas.openxmlformats.org/officeDocument/2006/relationships" name="Compliance Mapping" sheetId="10" state="visible" r:id="rId10"/>
    <sheet xmlns:r="http://schemas.openxmlformats.org/officeDocument/2006/relationships" name="Program Metrics" sheetId="11" state="visible" r:id="rId11"/>
  </sheets>
  <definedNames>
    <definedName name="_xlnm._FilterDatabase" localSheetId="3" hidden="1">'Tool Function Mapping'!$A$20:$G$83</definedName>
    <definedName name="_xlnm._FilterDatabase" localSheetId="5" hidden="1">'Guardrail Checklist'!$A$16:$I$105</definedName>
    <definedName name="_xlnm._FilterDatabase" localSheetId="6" hidden="1">'Tool Registry'!$A$15:$U$25</definedName>
    <definedName name="_xlnm._FilterDatabase" localSheetId="7" hidden="1">'Exception Tracker'!$A$23:$O$46</definedName>
    <definedName name="_xlnm._FilterDatabase" localSheetId="8" hidden="1">'AI Security Tool Landscape'!$A$18:$J$106</definedName>
    <definedName name="_xlnm._FilterDatabase" localSheetId="10" hidden="1">'Program Metrics'!$A$9:$H$103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563C1"/>
      <sz val="10"/>
    </font>
    <font>
      <name val="Arial"/>
      <charset val="1"/>
      <family val="0"/>
      <i val="1"/>
      <color rgb="FF000000"/>
      <sz val="10"/>
    </font>
    <font>
      <name val="Arial"/>
      <charset val="1"/>
      <family val="0"/>
      <b val="1"/>
      <sz val="10"/>
    </font>
  </fonts>
  <fills count="2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05496"/>
        <bgColor rgb="FF1F3864"/>
      </patternFill>
    </fill>
    <fill>
      <patternFill patternType="solid">
        <fgColor rgb="FFD9E1F2"/>
        <bgColor rgb="FFD5DEEB"/>
      </patternFill>
    </fill>
    <fill>
      <patternFill patternType="solid">
        <fgColor rgb="FFC6EFCE"/>
        <bgColor rgb="FFD2E0DB"/>
      </patternFill>
    </fill>
    <fill>
      <patternFill patternType="solid">
        <fgColor rgb="FFFFEB9C"/>
        <bgColor rgb="FFEFE2BB"/>
      </patternFill>
    </fill>
    <fill>
      <patternFill patternType="solid">
        <fgColor rgb="FFF8CBAD"/>
        <bgColor rgb="FFEFE2BB"/>
      </patternFill>
    </fill>
    <fill>
      <patternFill patternType="solid">
        <fgColor rgb="FFE8A78C"/>
        <bgColor rgb="FFD5C8B6"/>
      </patternFill>
    </fill>
    <fill>
      <patternFill patternType="solid">
        <fgColor rgb="FFD5DEEB"/>
        <bgColor rgb="FFD9E1F2"/>
      </patternFill>
    </fill>
    <fill>
      <patternFill patternType="solid">
        <fgColor rgb="FFEAD7DB"/>
        <bgColor rgb="FFDED5E2"/>
      </patternFill>
    </fill>
    <fill>
      <patternFill patternType="solid">
        <fgColor rgb="FFD2E0DB"/>
        <bgColor rgb="FFD5DEEB"/>
      </patternFill>
    </fill>
    <fill>
      <patternFill patternType="solid">
        <fgColor rgb="FFDED5E2"/>
        <bgColor rgb="FFD9D9D9"/>
      </patternFill>
    </fill>
    <fill>
      <patternFill patternType="solid">
        <fgColor rgb="FFD6DEC4"/>
        <bgColor rgb="FFD2E0DB"/>
      </patternFill>
    </fill>
    <fill>
      <patternFill patternType="solid">
        <fgColor rgb="FFD5C8B6"/>
        <bgColor rgb="FFBFBFBF"/>
      </patternFill>
    </fill>
    <fill>
      <patternFill patternType="solid">
        <fgColor rgb="FFEFE2BB"/>
        <bgColor rgb="FFEAD7DB"/>
      </patternFill>
    </fill>
    <fill>
      <patternFill patternType="solid">
        <fgColor rgb="FFE2CCF1"/>
        <bgColor rgb="FFDED5E2"/>
      </patternFill>
    </fill>
    <fill>
      <patternFill patternType="solid">
        <fgColor rgb="FFD9D9D9"/>
        <bgColor rgb="FFDED5E2"/>
      </patternFill>
    </fill>
    <fill>
      <patternFill patternType="solid">
        <fgColor rgb="FFFFF2CC"/>
        <bgColor rgb="FFEFE2BB"/>
      </patternFill>
    </fill>
    <fill>
      <patternFill patternType="solid">
        <fgColor rgb="FFA4D9A8"/>
        <bgColor rgb="FFBFBFB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7" fillId="11" borderId="1" applyAlignment="1" pivotButton="0" quotePrefix="0" xfId="0">
      <alignment horizontal="general" vertical="top" wrapText="1"/>
    </xf>
    <xf numFmtId="0" fontId="7" fillId="12" borderId="1" applyAlignment="1" pivotButton="0" quotePrefix="0" xfId="0">
      <alignment horizontal="general" vertical="top" wrapText="1"/>
    </xf>
    <xf numFmtId="0" fontId="7" fillId="13" borderId="1" applyAlignment="1" pivotButton="0" quotePrefix="0" xfId="0">
      <alignment horizontal="general" vertical="top" wrapText="1"/>
    </xf>
    <xf numFmtId="0" fontId="7" fillId="14" borderId="1" applyAlignment="1" pivotButton="0" quotePrefix="0" xfId="0">
      <alignment horizontal="general" vertical="top" wrapText="1"/>
    </xf>
    <xf numFmtId="0" fontId="7" fillId="15" borderId="1" applyAlignment="1" pivotButton="0" quotePrefix="0" xfId="0">
      <alignment horizontal="general" vertical="top" wrapText="1"/>
    </xf>
    <xf numFmtId="0" fontId="7" fillId="16" borderId="1" applyAlignment="1" pivotButton="0" quotePrefix="0" xfId="0">
      <alignment horizontal="general" vertical="top" wrapText="1"/>
    </xf>
    <xf numFmtId="0" fontId="7" fillId="17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  <xf numFmtId="0" fontId="8" fillId="7" borderId="0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8" fillId="18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general" vertical="top" wrapText="1"/>
    </xf>
    <xf numFmtId="0" fontId="8" fillId="11" borderId="0" applyAlignment="1" pivotButton="0" quotePrefix="0" xfId="0">
      <alignment horizontal="general" vertical="top" wrapText="1"/>
    </xf>
    <xf numFmtId="0" fontId="8" fillId="12" borderId="0" applyAlignment="1" pivotButton="0" quotePrefix="0" xfId="0">
      <alignment horizontal="general" vertical="top" wrapText="1"/>
    </xf>
    <xf numFmtId="0" fontId="8" fillId="13" borderId="0" applyAlignment="1" pivotButton="0" quotePrefix="0" xfId="0">
      <alignment horizontal="general" vertical="top" wrapText="1"/>
    </xf>
    <xf numFmtId="0" fontId="8" fillId="14" borderId="0" applyAlignment="1" pivotButton="0" quotePrefix="0" xfId="0">
      <alignment horizontal="general" vertical="top" wrapText="1"/>
    </xf>
    <xf numFmtId="0" fontId="8" fillId="15" borderId="0" applyAlignment="1" pivotButton="0" quotePrefix="0" xfId="0">
      <alignment horizontal="general" vertical="top" wrapText="1"/>
    </xf>
    <xf numFmtId="0" fontId="6" fillId="15" borderId="0" applyAlignment="1" pivotButton="0" quotePrefix="0" xfId="0">
      <alignment horizontal="general" vertical="center" wrapText="1"/>
    </xf>
    <xf numFmtId="0" fontId="8" fillId="15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1" fillId="19" borderId="1" applyAlignment="1" pivotButton="0" quotePrefix="0" xfId="0">
      <alignment horizontal="general" vertical="top" wrapText="1"/>
    </xf>
    <xf numFmtId="0" fontId="7" fillId="1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7" fillId="8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7" fillId="10" borderId="1" applyAlignment="1" pivotButton="0" quotePrefix="0" xfId="0">
      <alignment horizontal="general" vertical="top" wrapText="1"/>
    </xf>
    <xf numFmtId="0" fontId="7" fillId="11" borderId="1" applyAlignment="1" pivotButton="0" quotePrefix="0" xfId="0">
      <alignment horizontal="general" vertical="top" wrapText="1"/>
    </xf>
    <xf numFmtId="0" fontId="7" fillId="12" borderId="1" applyAlignment="1" pivotButton="0" quotePrefix="0" xfId="0">
      <alignment horizontal="general" vertical="top" wrapText="1"/>
    </xf>
    <xf numFmtId="0" fontId="7" fillId="13" borderId="1" applyAlignment="1" pivotButton="0" quotePrefix="0" xfId="0">
      <alignment horizontal="general" vertical="top" wrapText="1"/>
    </xf>
    <xf numFmtId="0" fontId="7" fillId="14" borderId="1" applyAlignment="1" pivotButton="0" quotePrefix="0" xfId="0">
      <alignment horizontal="general" vertical="top" wrapText="1"/>
    </xf>
    <xf numFmtId="0" fontId="7" fillId="15" borderId="1" applyAlignment="1" pivotButton="0" quotePrefix="0" xfId="0">
      <alignment horizontal="general" vertical="top" wrapText="1"/>
    </xf>
    <xf numFmtId="0" fontId="7" fillId="16" borderId="1" applyAlignment="1" pivotButton="0" quotePrefix="0" xfId="0">
      <alignment horizontal="general" vertical="top" wrapText="1"/>
    </xf>
    <xf numFmtId="0" fontId="7" fillId="17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general" vertical="top" wrapText="1"/>
    </xf>
    <xf numFmtId="0" fontId="8" fillId="5" borderId="0" applyAlignment="1" pivotButton="0" quotePrefix="0" xfId="0">
      <alignment horizontal="general" vertical="top" wrapText="1"/>
    </xf>
    <xf numFmtId="0" fontId="8" fillId="6" borderId="0" applyAlignment="1" pivotButton="0" quotePrefix="0" xfId="0">
      <alignment horizontal="general" vertical="top" wrapText="1"/>
    </xf>
    <xf numFmtId="0" fontId="8" fillId="7" borderId="0" applyAlignment="1" pivotButton="0" quotePrefix="0" xfId="0">
      <alignment horizontal="general" vertical="top" wrapText="1"/>
    </xf>
    <xf numFmtId="0" fontId="8" fillId="8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8" fillId="18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general" vertical="top" wrapText="1"/>
    </xf>
    <xf numFmtId="0" fontId="8" fillId="11" borderId="0" applyAlignment="1" pivotButton="0" quotePrefix="0" xfId="0">
      <alignment horizontal="general" vertical="top" wrapText="1"/>
    </xf>
    <xf numFmtId="0" fontId="8" fillId="12" borderId="0" applyAlignment="1" pivotButton="0" quotePrefix="0" xfId="0">
      <alignment horizontal="general" vertical="top" wrapText="1"/>
    </xf>
    <xf numFmtId="0" fontId="8" fillId="13" borderId="0" applyAlignment="1" pivotButton="0" quotePrefix="0" xfId="0">
      <alignment horizontal="general" vertical="top" wrapText="1"/>
    </xf>
    <xf numFmtId="0" fontId="8" fillId="14" borderId="0" applyAlignment="1" pivotButton="0" quotePrefix="0" xfId="0">
      <alignment horizontal="general" vertical="top" wrapText="1"/>
    </xf>
    <xf numFmtId="0" fontId="8" fillId="15" borderId="0" applyAlignment="1" pivotButton="0" quotePrefix="0" xfId="0">
      <alignment horizontal="general" vertical="top" wrapText="1"/>
    </xf>
    <xf numFmtId="0" fontId="6" fillId="15" borderId="0" applyAlignment="1" pivotButton="0" quotePrefix="0" xfId="0">
      <alignment horizontal="general" vertical="center" wrapText="1"/>
    </xf>
    <xf numFmtId="0" fontId="8" fillId="15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1" fillId="19" borderId="1" applyAlignment="1" pivotButton="0" quotePrefix="0" xfId="0">
      <alignment horizontal="general" vertical="top" wrapText="1"/>
    </xf>
    <xf numFmtId="0" fontId="7" fillId="19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9"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8A78C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CCF1"/>
          <bgColor rgb="FF000000"/>
        </patternFill>
      </fill>
    </dxf>
    <dxf>
      <fill>
        <patternFill patternType="solid">
          <fgColor rgb="FFD2E0DB"/>
          <bgColor rgb="FF000000"/>
        </patternFill>
      </fill>
    </dxf>
    <dxf>
      <fill>
        <patternFill patternType="solid">
          <fgColor rgb="FFD5C8B6"/>
          <bgColor rgb="FF000000"/>
        </patternFill>
      </fill>
    </dxf>
    <dxf>
      <fill>
        <patternFill patternType="solid">
          <fgColor rgb="FFD5DEEB"/>
          <bgColor rgb="FF000000"/>
        </patternFill>
      </fill>
    </dxf>
    <dxf>
      <fill>
        <patternFill patternType="solid">
          <fgColor rgb="FFD6DEC4"/>
          <bgColor rgb="FF000000"/>
        </patternFill>
      </fill>
    </dxf>
    <dxf>
      <fill>
        <patternFill patternType="solid">
          <fgColor rgb="FFDED5E2"/>
          <bgColor rgb="FF000000"/>
        </patternFill>
      </fill>
    </dxf>
    <dxf>
      <fill>
        <patternFill patternType="solid">
          <fgColor rgb="FFEAD7DB"/>
          <bgColor rgb="FF000000"/>
        </patternFill>
      </fill>
    </dxf>
    <dxf>
      <fill>
        <patternFill patternType="solid">
          <fgColor rgb="FFEFE2B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05496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A4D9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6DEC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ED5E2"/>
      <rgbColor rgb="FF993366"/>
      <rgbColor rgb="FFFFF2CC"/>
      <rgbColor rgb="FFD9E1F2"/>
      <rgbColor rgb="FF660066"/>
      <rgbColor rgb="FFEAD7DB"/>
      <rgbColor rgb="FF0563C1"/>
      <rgbColor rgb="FFE2CCF1"/>
      <rgbColor rgb="FF000080"/>
      <rgbColor rgb="FFFF00FF"/>
      <rgbColor rgb="FFD2E0DB"/>
      <rgbColor rgb="FF00FFFF"/>
      <rgbColor rgb="FF800080"/>
      <rgbColor rgb="FF800000"/>
      <rgbColor rgb="FF008080"/>
      <rgbColor rgb="FF0000FF"/>
      <rgbColor rgb="FF00CCFF"/>
      <rgbColor rgb="FFD5DEEB"/>
      <rgbColor rgb="FFC6EFCE"/>
      <rgbColor rgb="FFFFEB9C"/>
      <rgbColor rgb="FFA4D9A8"/>
      <rgbColor rgb="FFE8A78C"/>
      <rgbColor rgb="FFD5C8B6"/>
      <rgbColor rgb="FFF8CBAD"/>
      <rgbColor rgb="FF3366FF"/>
      <rgbColor rgb="FF33CCCC"/>
      <rgbColor rgb="FF99CC00"/>
      <rgbColor rgb="FFEFE2BB"/>
      <rgbColor rgb="FFFF9900"/>
      <rgbColor rgb="FFFF6600"/>
      <rgbColor rgb="FF595959"/>
      <rgbColor rgb="FFD9D9D9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7" activeCellId="0" sqref="B37"/>
    </sheetView>
  </sheetViews>
  <sheetFormatPr baseColWidth="8" defaultColWidth="8.83203125" defaultRowHeight="15" customHeight="0" zeroHeight="0" outlineLevelRow="0"/>
  <cols>
    <col width="16" customWidth="1" style="54" min="1" max="1"/>
    <col width="32" customWidth="1" style="54" min="2" max="3"/>
    <col width="28" customWidth="1" style="54" min="4" max="4"/>
  </cols>
  <sheetData>
    <row r="1" ht="25.5" customHeight="1" s="55">
      <c r="A1" s="56" t="inlineStr">
        <is>
          <t>Enterprise AI Security - Governance &amp; Tool Landscape</t>
        </is>
      </c>
    </row>
    <row r="2"/>
    <row r="3" ht="31.5" customHeight="1" s="55">
      <c r="A3" s="57" t="inlineStr">
        <is>
          <t>v2.0 (April 2026)</t>
        </is>
      </c>
      <c r="C3" s="58" t="inlineStr">
        <is>
          <t>Acquisition refresh (Palo Alto/CyberArk $25B closed Feb 2026; Google/Wiz $32B closed Mar 2026; Check Point/Lakera, SentinelOne/Prompt+Observo, CrowdStrike/Pangea, F5/CalypsoAI, Cato/AIM all confirmed closed). Intake Form restructured: structured selectors for deployment model, tier, team size, SLA, continuity, sub-processors instead of open text. Unified palette (4 risk tiers + 7 family colors, all muted). Tool Landscape P/S/T columns color-coded consistently. Compliance Mapping scroll-through layout with family banners. Guardrail Checklist Pass/Fail centered. CMM levels color-graduated. 57 functions, 63 guardrails, 88 vendors, 21 compliance frameworks.</t>
        </is>
      </c>
    </row>
    <row r="4"/>
    <row r="5" ht="18" customHeight="1" s="55">
      <c r="A5" s="59" t="inlineStr">
        <is>
          <t>Purpose</t>
        </is>
      </c>
    </row>
    <row r="6" ht="45.75" customHeight="1" s="55">
      <c r="A6" s="60" t="inlineStr">
        <is>
          <t>This workbook gives a single place to manage AI tools across an organization: classify them by risk, require the right guardrails, track who owns what, and measure whether the program is working.</t>
        </is>
      </c>
    </row>
    <row r="7"/>
    <row r="8" ht="18" customHeight="1" s="55">
      <c r="A8" s="59" t="inlineStr">
        <is>
          <t>Who it is for</t>
        </is>
      </c>
    </row>
    <row r="9" ht="18" customHeight="1" s="55">
      <c r="A9" s="60" t="inlineStr">
        <is>
          <t>• Security and risk teams running AI governance programs</t>
        </is>
      </c>
    </row>
    <row r="10" ht="18" customHeight="1" s="55">
      <c r="A10" s="60" t="inlineStr">
        <is>
          <t>• Architects reviewing new AI tool requests</t>
        </is>
      </c>
    </row>
    <row r="11" ht="18" customHeight="1" s="55">
      <c r="A11" s="60" t="inlineStr">
        <is>
          <t>• Compliance and privacy teams mapping AI usage to regulations</t>
        </is>
      </c>
    </row>
    <row r="12" ht="18" customHeight="1" s="55">
      <c r="A12" s="60" t="inlineStr">
        <is>
          <t>• Program managers measuring and reporting on AI adoption risk</t>
        </is>
      </c>
    </row>
    <row r="13"/>
    <row r="14" ht="18" customHeight="1" s="55">
      <c r="A14" s="59" t="inlineStr">
        <is>
          <t>Workbook contents</t>
        </is>
      </c>
    </row>
    <row r="15" ht="18" customHeight="1" s="55">
      <c r="A15" s="61" t="inlineStr">
        <is>
          <t>#</t>
        </is>
      </c>
      <c r="B15" s="61" t="inlineStr">
        <is>
          <t>Tab</t>
        </is>
      </c>
      <c r="C15" s="61" t="inlineStr">
        <is>
          <t>Contents</t>
        </is>
      </c>
      <c r="D15" s="61" t="inlineStr">
        <is>
          <t>When to use</t>
        </is>
      </c>
    </row>
    <row r="16" ht="45.75" customHeight="1" s="55">
      <c r="A16" s="62" t="inlineStr">
        <is>
          <t>1</t>
        </is>
      </c>
      <c r="B16" s="63">
        <f>HYPERLINK("#'Overview'!A1","Overview")</f>
        <v/>
      </c>
      <c r="C16" s="62" t="inlineStr">
        <is>
          <t>Purpose, how to use, version history</t>
        </is>
      </c>
      <c r="D16" s="62" t="inlineStr">
        <is>
          <t>Start here</t>
        </is>
      </c>
    </row>
    <row r="17" ht="45.75" customHeight="1" s="55">
      <c r="A17" s="62" t="inlineStr">
        <is>
          <t>2</t>
        </is>
      </c>
      <c r="B17" s="63">
        <f>HYPERLINK("#'User Guide'!A1","User Guide")</f>
        <v/>
      </c>
      <c r="C17" s="62" t="inlineStr">
        <is>
          <t>Scenarios, key concepts, customization</t>
        </is>
      </c>
      <c r="D17" s="62" t="inlineStr">
        <is>
          <t>First-time setup</t>
        </is>
      </c>
    </row>
    <row r="18" ht="73.5" customHeight="1" s="55">
      <c r="A18" s="62" t="inlineStr">
        <is>
          <t>3</t>
        </is>
      </c>
      <c r="B18" s="63">
        <f>HYPERLINK("#'Governance Guide'!A1","Governance Guide")</f>
        <v/>
      </c>
      <c r="C18" s="62" t="inlineStr">
        <is>
          <t>Committee, lifecycle, enforcement, IR, model-version review</t>
        </is>
      </c>
      <c r="D18" s="62" t="inlineStr">
        <is>
          <t>Policy framework</t>
        </is>
      </c>
    </row>
    <row r="19" ht="45.75" customHeight="1" s="55">
      <c r="A19" s="62" t="inlineStr">
        <is>
          <t>4</t>
        </is>
      </c>
      <c r="B19" s="63">
        <f>HYPERLINK("#'Tool Function Mapping'!A1","Tool Function Mapping")</f>
        <v/>
      </c>
      <c r="C19" s="62" t="inlineStr">
        <is>
          <t>57 functions with graduated risk criteria</t>
        </is>
      </c>
      <c r="D19" s="62" t="inlineStr">
        <is>
          <t>Classify tool risk</t>
        </is>
      </c>
    </row>
    <row r="20" ht="60" customHeight="1" s="55">
      <c r="A20" s="62" t="inlineStr">
        <is>
          <t>5</t>
        </is>
      </c>
      <c r="B20" s="63">
        <f>HYPERLINK("#'Intake Form'!A1","Intake Form")</f>
        <v/>
      </c>
      <c r="C20" s="62" t="inlineStr">
        <is>
          <t>Two-part request form (requestor + security review)</t>
        </is>
      </c>
      <c r="D20" s="62" t="inlineStr">
        <is>
          <t>New tool requests</t>
        </is>
      </c>
    </row>
    <row r="21" ht="60" customHeight="1" s="55">
      <c r="A21" s="62" t="inlineStr">
        <is>
          <t>6</t>
        </is>
      </c>
      <c r="B21" s="63">
        <f>HYPERLINK("#'Guardrail Checklist'!A1","Guardrail Checklist")</f>
        <v/>
      </c>
      <c r="C21" s="62" t="inlineStr">
        <is>
          <t>63 guardrails, dual-tagged (In-Scope tier + Agentic)</t>
        </is>
      </c>
      <c r="D21" s="62" t="inlineStr">
        <is>
          <t>Verify controls</t>
        </is>
      </c>
    </row>
    <row r="22" ht="45.75" customHeight="1" s="55">
      <c r="A22" s="62" t="inlineStr">
        <is>
          <t>7</t>
        </is>
      </c>
      <c r="B22" s="63">
        <f>HYPERLINK("#'Tool Registry'!A1","Tool Registry")</f>
        <v/>
      </c>
      <c r="C22" s="62" t="inlineStr">
        <is>
          <t>Living inventory of approved AI tools</t>
        </is>
      </c>
      <c r="D22" s="62" t="inlineStr">
        <is>
          <t>Track approved tools</t>
        </is>
      </c>
    </row>
    <row r="23" ht="60" customHeight="1" s="55">
      <c r="A23" s="62" t="inlineStr">
        <is>
          <t>8</t>
        </is>
      </c>
      <c r="B23" s="63">
        <f>HYPERLINK("#'Exception Tracker'!A1","Exception Tracker")</f>
        <v/>
      </c>
      <c r="C23" s="62" t="inlineStr">
        <is>
          <t>Severe-risk and guardrail exceptions, renewals</t>
        </is>
      </c>
      <c r="D23" s="62" t="inlineStr">
        <is>
          <t>Manage exceptions</t>
        </is>
      </c>
    </row>
    <row r="24" ht="45.75" customHeight="1" s="55">
      <c r="A24" s="62" t="inlineStr">
        <is>
          <t>9</t>
        </is>
      </c>
      <c r="B24" s="63">
        <f>HYPERLINK("#'AI Security Tool Landscape'!A1","AI Security Tool Landscape")</f>
        <v/>
      </c>
      <c r="C24" s="62" t="inlineStr">
        <is>
          <t>88 vendors across 7 product families</t>
        </is>
      </c>
      <c r="D24" s="62" t="inlineStr">
        <is>
          <t>Select security vendors</t>
        </is>
      </c>
    </row>
    <row r="25" ht="60" customHeight="1" s="55">
      <c r="A25" s="62" t="inlineStr">
        <is>
          <t>10</t>
        </is>
      </c>
      <c r="B25" s="63">
        <f>HYPERLINK("#'Compliance Mapping'!A1","Compliance Mapping")</f>
        <v/>
      </c>
      <c r="C25" s="62" t="inlineStr">
        <is>
          <t>Guardrails mapped to 21 compliance frameworks</t>
        </is>
      </c>
      <c r="D25" s="62" t="inlineStr">
        <is>
          <t>Audit evidence</t>
        </is>
      </c>
    </row>
    <row r="26" ht="60" customHeight="1" s="55">
      <c r="A26" s="62" t="inlineStr">
        <is>
          <t>11</t>
        </is>
      </c>
      <c r="B26" s="63">
        <f>HYPERLINK("#'Program Metrics'!A1","Program Metrics")</f>
        <v/>
      </c>
      <c r="C26" s="62" t="inlineStr">
        <is>
          <t>KPIs, SLOs, maturity model, reporting cadence</t>
        </is>
      </c>
      <c r="D26" s="62" t="inlineStr">
        <is>
          <t>Measure effectiveness</t>
        </is>
      </c>
    </row>
    <row r="27"/>
    <row r="28" ht="18" customHeight="1" s="55">
      <c r="A28" s="59" t="inlineStr">
        <is>
          <t>2026 Market context</t>
        </is>
      </c>
    </row>
    <row r="29" ht="18" customHeight="1" s="55">
      <c r="A29" s="61" t="inlineStr">
        <is>
          <t>#</t>
        </is>
      </c>
      <c r="B29" s="61" t="inlineStr">
        <is>
          <t>Trend</t>
        </is>
      </c>
      <c r="C29" s="61" t="n"/>
      <c r="D29" s="61" t="n"/>
    </row>
    <row r="30" ht="73.5" customHeight="1" s="55">
      <c r="A30" s="61" t="inlineStr">
        <is>
          <t>1. Rapid consolidation</t>
        </is>
      </c>
      <c r="B30" s="64" t="inlineStr">
        <is>
          <t>Two historic deals closed in early 2026: Palo Alto Networks completed its $25B acquisition of CyberArk on Feb 11 (largest cybersecurity M&amp;A on record at the time), and Google closed its $32B acquisition of Wiz on March 11 (largest pure-play cloud security deal). Earlier in 2025: Palo Alto / Protect AI, Cisco / Robust Intelligence, Check Point / Lakera ($300M), SentinelOne / Prompt Security ($133.6M) + Observo AI ($225M), CrowdStrike / Pangea ($260M), F5 / CalypsoAI ($180M), Cato / AIM Security. Check whether your existing platform now includes AI security capabilities before buying point tools.</t>
        </is>
      </c>
      <c r="C30" s="65" t="n"/>
      <c r="D30" s="66" t="n"/>
    </row>
    <row r="31" ht="45.75" customHeight="1" s="55">
      <c r="A31" s="61" t="inlineStr">
        <is>
          <t>2. Family overlap is the norm</t>
        </is>
      </c>
      <c r="B31" s="64" t="inlineStr">
        <is>
          <t>Over 90% of vendors span multiple product families. Use the 3-tier family mapping in the Tool Landscape to find overlap and avoid paying twice for the same coverage.</t>
        </is>
      </c>
      <c r="C31" s="65" t="n"/>
      <c r="D31" s="66" t="n"/>
    </row>
    <row r="32" ht="45.75" customHeight="1" s="55">
      <c r="A32" s="61" t="inlineStr">
        <is>
          <t>3. NHI and agentic access is the battleground</t>
        </is>
      </c>
      <c r="B32" s="64" t="inlineStr">
        <is>
          <t>Non-human identity security is the fastest-growing category. Service accounts, dynamic tokens, and agent-to-agent auth require new controls. Every major IAM vendor now has an NHI story.</t>
        </is>
      </c>
      <c r="C32" s="65" t="n"/>
      <c r="D32" s="66" t="n"/>
    </row>
    <row r="33" ht="45.75" customHeight="1" s="55">
      <c r="A33" s="61" t="inlineStr">
        <is>
          <t>4. Runtime protection is table stakes</t>
        </is>
      </c>
      <c r="B33" s="64" t="inlineStr">
        <is>
          <t>Prompt injection and jailbreak prevention are mandatory. Open source baselines (Rebuff, LLM Guard, Guardrails AI) plus commercial layers for defense in depth.</t>
        </is>
      </c>
      <c r="C33" s="65" t="n"/>
      <c r="D33" s="66" t="n"/>
    </row>
    <row r="34" ht="45.75" customHeight="1" s="55">
      <c r="A34" s="61" t="inlineStr">
        <is>
          <t>5. Shadow AI is bigger than teams expect</t>
        </is>
      </c>
      <c r="B34" s="64" t="inlineStr">
        <is>
          <t>Early adopters of discovery tools found 3-10x more AI usage than they thought existed. Discovery has to precede governance.</t>
        </is>
      </c>
      <c r="C34" s="65" t="n"/>
      <c r="D34" s="66" t="n"/>
    </row>
    <row r="35" ht="45.75" customHeight="1" s="55">
      <c r="A35" s="61" t="inlineStr">
        <is>
          <t>6. Platform vs best-of-breed is a real decision</t>
        </is>
      </c>
      <c r="B35" s="64" t="inlineStr">
        <is>
          <t>Integrated AI security from platform vendors vs independent specialists. Platforms deploy faster; independents go deeper.</t>
        </is>
      </c>
      <c r="C35" s="65" t="n"/>
      <c r="D35" s="66" t="n"/>
    </row>
    <row r="36" ht="45.75" customHeight="1" s="55">
      <c r="A36" s="61" t="inlineStr">
        <is>
          <t>7. Regulatory pressure is here, not coming</t>
        </is>
      </c>
      <c r="B36" s="64" t="inlineStr">
        <is>
          <t>EU AI Act prohibitions have been enforcing since Feb 2025. GPAI obligations since Aug 2025. High-risk systems hit Aug 2026. Colorado AI Act effective Feb 2026. State-level laws proliferating (California, Texas, NYC AEDT).</t>
        </is>
      </c>
      <c r="C36" s="65" t="n"/>
      <c r="D36" s="66" t="n"/>
    </row>
    <row r="37" ht="45.75" customHeight="1" s="55">
      <c r="A37" s="61" t="inlineStr">
        <is>
          <t>8. MCP is the new attack surface</t>
        </is>
      </c>
      <c r="B37" s="64" t="inlineStr">
        <is>
          <t>Model Context Protocol adoption surged in 2025-26. MCP servers inherit agent trust - a malicious MCP is a full agent compromise. Allowlist and sign MCP servers; do not self-install unreviewed ones.</t>
        </is>
      </c>
      <c r="C37" s="65" t="n"/>
      <c r="D37" s="66" t="n"/>
    </row>
    <row r="38" ht="45.75" customHeight="1" s="55">
      <c r="A38" s="61" t="inlineStr">
        <is>
          <t>9. Agent autonomy needs graduated controls</t>
        </is>
      </c>
      <c r="B38" s="64" t="inlineStr">
        <is>
          <t>Binary autonomous-or-not is too coarse. Workbooks need a scale: no autonomy, HITL for all writes, HITL for severe only, fully autonomous with kill switch.</t>
        </is>
      </c>
      <c r="C38" s="65" t="n"/>
      <c r="D38" s="66" t="n"/>
    </row>
    <row r="39"/>
    <row r="40" ht="18" customHeight="1" s="55">
      <c r="A40" s="59" t="inlineStr">
        <is>
          <t>Version history</t>
        </is>
      </c>
    </row>
    <row r="41" ht="18" customHeight="1" s="55">
      <c r="A41" s="61" t="inlineStr">
        <is>
          <t>Version</t>
        </is>
      </c>
      <c r="B41" s="61" t="inlineStr">
        <is>
          <t>Date</t>
        </is>
      </c>
      <c r="C41" s="61" t="inlineStr">
        <is>
          <t>Changes</t>
        </is>
      </c>
      <c r="D41" s="61" t="n"/>
    </row>
    <row r="42" ht="115.5" customHeight="1" s="55">
      <c r="A42" s="62" t="inlineStr">
        <is>
          <t>v2.0 (April 2026)</t>
        </is>
      </c>
      <c r="B42" s="62" t="inlineStr">
        <is>
          <t>2026-04-23</t>
        </is>
      </c>
      <c r="C42" s="62" t="inlineStr">
        <is>
          <t>Major refresh: 57 functions (was 45), 63 guardrails (was 48) with agentic dual-tagging, 88 vendors (added 2025-26 entrants + refreshed statuses), 21 compliance frameworks (added US state laws + industry-specific). Added AI-specific IR playbook, model-version review, agent autonomy risk factor. Applied muted palette, auto-filter, hyperlinks.</t>
        </is>
      </c>
      <c r="D42" s="66" t="n"/>
    </row>
    <row r="43" ht="31.5" customHeight="1" s="55">
      <c r="A43" s="62" t="inlineStr">
        <is>
          <t>v1.3</t>
        </is>
      </c>
      <c r="B43" s="62" t="inlineStr">
        <is>
          <t>2026-02-XX</t>
        </is>
      </c>
      <c r="C43" s="62" t="inlineStr">
        <is>
          <t>17 new vendors, 6 agentic AI guardrails, 4 new tool functions, updated compliance mappings</t>
        </is>
      </c>
      <c r="D43" s="66" t="n"/>
    </row>
    <row r="44" ht="31.5" customHeight="1" s="55">
      <c r="A44" s="62" t="inlineStr">
        <is>
          <t>v1.0</t>
        </is>
      </c>
      <c r="B44" s="62" t="inlineStr">
        <is>
          <t>2025-01-XX</t>
        </is>
      </c>
      <c r="C44" s="62" t="inlineStr">
        <is>
          <t>Initial release with 58 vendors, 40 guardrails, 41 functions</t>
        </is>
      </c>
      <c r="D44" s="66" t="n"/>
    </row>
    <row r="45"/>
    <row r="46" ht="18" customHeight="1" s="55">
      <c r="A46" s="57" t="inlineStr">
        <is>
          <t>Last updated: 2026-04-23 | Owner: Security &amp; Risk (edit to reflect your org)</t>
        </is>
      </c>
    </row>
    <row r="47"/>
    <row r="48" ht="18" customHeight="1" s="55">
      <c r="A48" s="59" t="inlineStr">
        <is>
          <t>Color legend (used across all tabs)</t>
        </is>
      </c>
    </row>
    <row r="49" ht="31.5" customHeight="1" s="55">
      <c r="A49" s="60" t="inlineStr">
        <is>
          <t>The workbook uses two coordinated palettes: risk tiers (4 levels) and product families (7 distinct hues). Colors appear in the same place for the same meaning everywhere.</t>
        </is>
      </c>
    </row>
    <row r="50"/>
    <row r="51" ht="31.5" customHeight="1" s="55">
      <c r="A51" s="61" t="inlineStr">
        <is>
          <t>Risk tier</t>
        </is>
      </c>
      <c r="B51" s="61" t="inlineStr">
        <is>
          <t>Color</t>
        </is>
      </c>
      <c r="C51" s="61" t="inlineStr">
        <is>
          <t>When you see it</t>
        </is>
      </c>
      <c r="D51" s="61" t="n"/>
    </row>
    <row r="52" ht="73.5" customHeight="1" s="55">
      <c r="A52" s="67" t="inlineStr">
        <is>
          <t>Low</t>
        </is>
      </c>
      <c r="B52" s="62" t="inlineStr">
        <is>
          <t>Sage green</t>
        </is>
      </c>
      <c r="C52" s="62" t="inlineStr">
        <is>
          <t>Tool Function Mapping risk column; Intake Part 2; Review Requirements</t>
        </is>
      </c>
      <c r="D52" s="62" t="n"/>
    </row>
    <row r="53" ht="45.75" customHeight="1" s="55">
      <c r="A53" s="68" t="inlineStr">
        <is>
          <t>Medium</t>
        </is>
      </c>
      <c r="B53" s="62" t="inlineStr">
        <is>
          <t>Pale yellow</t>
        </is>
      </c>
      <c r="C53" s="62" t="inlineStr">
        <is>
          <t>Same as Low; medium-severity items</t>
        </is>
      </c>
      <c r="D53" s="62" t="n"/>
    </row>
    <row r="54" ht="60" customHeight="1" s="55">
      <c r="A54" s="69" t="inlineStr">
        <is>
          <t>High</t>
        </is>
      </c>
      <c r="B54" s="62" t="inlineStr">
        <is>
          <t>Muted apricot</t>
        </is>
      </c>
      <c r="C54" s="62" t="inlineStr">
        <is>
          <t>Same; high-severity items needing committee review</t>
        </is>
      </c>
      <c r="D54" s="62" t="n"/>
    </row>
    <row r="55" ht="45.75" customHeight="1" s="55">
      <c r="A55" s="70" t="inlineStr">
        <is>
          <t>Severe</t>
        </is>
      </c>
      <c r="B55" s="62" t="inlineStr">
        <is>
          <t>Muted terracotta</t>
        </is>
      </c>
      <c r="C55" s="62" t="inlineStr">
        <is>
          <t>Same; Severe items requiring exception</t>
        </is>
      </c>
      <c r="D55" s="62" t="n"/>
    </row>
    <row r="56"/>
    <row r="57" ht="31.5" customHeight="1" s="55">
      <c r="A57" s="61" t="inlineStr">
        <is>
          <t>Product family</t>
        </is>
      </c>
      <c r="B57" s="61" t="inlineStr">
        <is>
          <t>Color</t>
        </is>
      </c>
      <c r="C57" s="61" t="inlineStr">
        <is>
          <t>Where you see it</t>
        </is>
      </c>
      <c r="D57" s="61" t="n"/>
    </row>
    <row r="58" ht="171.75" customHeight="1" s="55">
      <c r="A58" s="71" t="inlineStr">
        <is>
          <t>AI Posture &amp; Governance</t>
        </is>
      </c>
      <c r="B58" s="71" t="inlineStr">
        <is>
          <t>See cell fill →</t>
        </is>
      </c>
      <c r="C58" s="62" t="inlineStr">
        <is>
          <t>Guardrail Checklist banners; Tool Landscape 3 family cols; Tool Function Mapping Families col; Tool Registry; Program Metrics KPI col; Compliance Mapping banners</t>
        </is>
      </c>
      <c r="D58" s="62" t="n"/>
    </row>
    <row r="59" ht="171.75" customHeight="1" s="55">
      <c r="A59" s="72" t="inlineStr">
        <is>
          <t>Runtime Protection &amp; Guardrails</t>
        </is>
      </c>
      <c r="B59" s="72" t="inlineStr">
        <is>
          <t>See cell fill →</t>
        </is>
      </c>
      <c r="C59" s="62" t="inlineStr">
        <is>
          <t>Guardrail Checklist banners; Tool Landscape 3 family cols; Tool Function Mapping Families col; Tool Registry; Program Metrics KPI col; Compliance Mapping banners</t>
        </is>
      </c>
      <c r="D59" s="62" t="n"/>
    </row>
    <row r="60" ht="171.75" customHeight="1" s="55">
      <c r="A60" s="73" t="inlineStr">
        <is>
          <t>Shadow AI &amp; Usage Discovery</t>
        </is>
      </c>
      <c r="B60" s="73" t="inlineStr">
        <is>
          <t>See cell fill →</t>
        </is>
      </c>
      <c r="C60" s="62" t="inlineStr">
        <is>
          <t>Guardrail Checklist banners; Tool Landscape 3 family cols; Tool Function Mapping Families col; Tool Registry; Program Metrics KPI col; Compliance Mapping banners</t>
        </is>
      </c>
      <c r="D60" s="62" t="n"/>
    </row>
    <row r="61" ht="171.75" customHeight="1" s="55">
      <c r="A61" s="74" t="inlineStr">
        <is>
          <t>Observability &amp; Evaluation</t>
        </is>
      </c>
      <c r="B61" s="74" t="inlineStr">
        <is>
          <t>See cell fill →</t>
        </is>
      </c>
      <c r="C61" s="62" t="inlineStr">
        <is>
          <t>Guardrail Checklist banners; Tool Landscape 3 family cols; Tool Function Mapping Families col; Tool Registry; Program Metrics KPI col; Compliance Mapping banners</t>
        </is>
      </c>
      <c r="D61" s="62" t="n"/>
    </row>
    <row r="62" ht="171.75" customHeight="1" s="55">
      <c r="A62" s="75" t="inlineStr">
        <is>
          <t>Data Protection for AI</t>
        </is>
      </c>
      <c r="B62" s="75" t="inlineStr">
        <is>
          <t>See cell fill →</t>
        </is>
      </c>
      <c r="C62" s="62" t="inlineStr">
        <is>
          <t>Guardrail Checklist banners; Tool Landscape 3 family cols; Tool Function Mapping Families col; Tool Registry; Program Metrics KPI col; Compliance Mapping banners</t>
        </is>
      </c>
      <c r="D62" s="62" t="n"/>
    </row>
    <row r="63" ht="171.75" customHeight="1" s="55">
      <c r="A63" s="76" t="inlineStr">
        <is>
          <t>NHI &amp; Agentic Access</t>
        </is>
      </c>
      <c r="B63" s="76" t="inlineStr">
        <is>
          <t>See cell fill →</t>
        </is>
      </c>
      <c r="C63" s="62" t="inlineStr">
        <is>
          <t>Guardrail Checklist banners; Tool Landscape 3 family cols; Tool Function Mapping Families col; Tool Registry; Program Metrics KPI col; Compliance Mapping banners</t>
        </is>
      </c>
      <c r="D63" s="62" t="n"/>
    </row>
    <row r="64" ht="171.75" customHeight="1" s="55">
      <c r="A64" s="77" t="inlineStr">
        <is>
          <t>AI Supply Chain</t>
        </is>
      </c>
      <c r="B64" s="77" t="inlineStr">
        <is>
          <t>See cell fill →</t>
        </is>
      </c>
      <c r="C64" s="62" t="inlineStr">
        <is>
          <t>Guardrail Checklist banners; Tool Landscape 3 family cols; Tool Function Mapping Families col; Tool Registry; Program Metrics KPI col; Compliance Mapping banners</t>
        </is>
      </c>
      <c r="D64" s="62" t="n"/>
    </row>
    <row r="65"/>
    <row r="66" ht="18" customHeight="1" s="55">
      <c r="A66" s="61" t="inlineStr">
        <is>
          <t>Marker</t>
        </is>
      </c>
      <c r="B66" s="61" t="inlineStr">
        <is>
          <t>Color</t>
        </is>
      </c>
      <c r="C66" s="61" t="inlineStr">
        <is>
          <t>Meaning</t>
        </is>
      </c>
      <c r="D66" s="61" t="n"/>
    </row>
    <row r="67" ht="87.75" customHeight="1" s="55">
      <c r="A67" s="78" t="inlineStr">
        <is>
          <t>Agentic</t>
        </is>
      </c>
      <c r="B67" s="62" t="inlineStr">
        <is>
          <t>Soft lavender</t>
        </is>
      </c>
      <c r="C67" s="62" t="inlineStr">
        <is>
          <t>Agentic-flagged rows in Guardrail Checklist; Intake Form agentic questions</t>
        </is>
      </c>
      <c r="D67" s="62" t="n"/>
    </row>
    <row r="68" ht="60" customHeight="1" s="55">
      <c r="A68" s="67" t="inlineStr">
        <is>
          <t>Status: Active</t>
        </is>
      </c>
      <c r="B68" s="62" t="inlineStr">
        <is>
          <t>See cell fill →</t>
        </is>
      </c>
      <c r="C68" s="62" t="inlineStr">
        <is>
          <t>Tool Registry and Exception Tracker Status column</t>
        </is>
      </c>
      <c r="D68" s="62" t="n"/>
    </row>
    <row r="69" ht="60" customHeight="1" s="55">
      <c r="A69" s="68" t="inlineStr">
        <is>
          <t>Status: Under Review</t>
        </is>
      </c>
      <c r="B69" s="62" t="inlineStr">
        <is>
          <t>See cell fill →</t>
        </is>
      </c>
      <c r="C69" s="62" t="inlineStr">
        <is>
          <t>Tool Registry and Exception Tracker Status column</t>
        </is>
      </c>
      <c r="D69" s="62" t="n"/>
    </row>
    <row r="70" ht="60" customHeight="1" s="55">
      <c r="A70" s="69" t="inlineStr">
        <is>
          <t>Status: Suspended</t>
        </is>
      </c>
      <c r="B70" s="62" t="inlineStr">
        <is>
          <t>See cell fill →</t>
        </is>
      </c>
      <c r="C70" s="62" t="inlineStr">
        <is>
          <t>Tool Registry and Exception Tracker Status column</t>
        </is>
      </c>
      <c r="D70" s="62" t="n"/>
    </row>
    <row r="71" ht="60" customHeight="1" s="55">
      <c r="A71" s="70" t="inlineStr">
        <is>
          <t>Status: Expired</t>
        </is>
      </c>
      <c r="B71" s="62" t="inlineStr">
        <is>
          <t>See cell fill →</t>
        </is>
      </c>
      <c r="C71" s="62" t="inlineStr">
        <is>
          <t>Tool Registry and Exception Tracker Status column</t>
        </is>
      </c>
      <c r="D71" s="62" t="n"/>
    </row>
    <row r="72" ht="60" customHeight="1" s="55">
      <c r="A72" s="79" t="inlineStr">
        <is>
          <t>Status: Decommissioned</t>
        </is>
      </c>
      <c r="B72" s="62" t="inlineStr">
        <is>
          <t>See cell fill →</t>
        </is>
      </c>
      <c r="C72" s="62" t="inlineStr">
        <is>
          <t>Tool Registry and Exception Tracker Status column</t>
        </is>
      </c>
      <c r="D72" s="62" t="n"/>
    </row>
  </sheetData>
  <mergeCells count="26">
    <mergeCell ref="A5:D5"/>
    <mergeCell ref="A8:D8"/>
    <mergeCell ref="C42:D42"/>
    <mergeCell ref="A10:D10"/>
    <mergeCell ref="A28:D28"/>
    <mergeCell ref="B38:D38"/>
    <mergeCell ref="B34:D34"/>
    <mergeCell ref="A40:D40"/>
    <mergeCell ref="A9:D9"/>
    <mergeCell ref="B37:D37"/>
    <mergeCell ref="A48:D48"/>
    <mergeCell ref="C44:D44"/>
    <mergeCell ref="B30:D30"/>
    <mergeCell ref="A11:D11"/>
    <mergeCell ref="A49:D49"/>
    <mergeCell ref="B33:D33"/>
    <mergeCell ref="A1:D1"/>
    <mergeCell ref="C43:D43"/>
    <mergeCell ref="B36:D36"/>
    <mergeCell ref="A6:D6"/>
    <mergeCell ref="B32:D32"/>
    <mergeCell ref="B35:D35"/>
    <mergeCell ref="A46:D46"/>
    <mergeCell ref="B31:D31"/>
    <mergeCell ref="A12:D12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83203125" defaultRowHeight="15" customHeight="0" zeroHeight="0" outlineLevelRow="0"/>
  <cols>
    <col width="36" customWidth="1" style="54" min="1" max="1"/>
    <col width="60" customWidth="1" style="54" min="2" max="2"/>
    <col width="30" customWidth="1" style="54" min="3" max="3"/>
  </cols>
  <sheetData>
    <row r="1" ht="25.5" customHeight="1" s="55">
      <c r="A1" s="56" t="inlineStr">
        <is>
          <t>User Guide - how to run this workbook</t>
        </is>
      </c>
    </row>
    <row r="3" ht="18" customHeight="1" s="55">
      <c r="A3" s="60" t="inlineStr">
        <is>
          <t>Read this first. Most tasks are scenario-driven; pick the one that matches your work. Counts reflect v2.0 (April 2026).</t>
        </is>
      </c>
    </row>
    <row r="5" ht="18" customHeight="1" s="55">
      <c r="A5" s="59" t="inlineStr">
        <is>
          <t>Common scenarios</t>
        </is>
      </c>
    </row>
    <row r="6" ht="18" customHeight="1" s="55">
      <c r="A6" s="61" t="inlineStr">
        <is>
          <t>Scenario</t>
        </is>
      </c>
      <c r="B6" s="61" t="inlineStr">
        <is>
          <t>Steps</t>
        </is>
      </c>
      <c r="C6" s="61" t="inlineStr">
        <is>
          <t>Tabs used</t>
        </is>
      </c>
    </row>
    <row r="7" ht="45.75" customHeight="1" s="55">
      <c r="A7" s="62" t="inlineStr">
        <is>
          <t>Setting up the governance program</t>
        </is>
      </c>
      <c r="B7" s="62" t="inlineStr">
        <is>
          <t>1. Governance Guide §1 (Committee) and §2 (Workflow) 2. Customize Tool Registry columns for your org 3. Review Tool Function Mapping risk factors 4. Pick vendors from AI Security Tool Landscape</t>
        </is>
      </c>
      <c r="C7" s="62" t="inlineStr">
        <is>
          <t>Governance Guide, Tool Registry, Tool Function Mapping, Tool Landscape</t>
        </is>
      </c>
    </row>
    <row r="8" ht="60" customHeight="1" s="55">
      <c r="A8" s="62" t="inlineStr">
        <is>
          <t>Evaluating a new AI tool</t>
        </is>
      </c>
      <c r="B8" s="62" t="inlineStr">
        <is>
          <t>1. Requestor fills Intake Form Part 1 2. Security fills Intake Form Part 2 (risk factors → risk level) 3. Route approval: Low=standard | Medium=dept lead | High=committee | Severe=exception 4. Use Tool Function Mapping to identify required guardrails</t>
        </is>
      </c>
      <c r="C8" s="62" t="inlineStr">
        <is>
          <t>Intake Form, Tool Function Mapping, Guardrail Checklist</t>
        </is>
      </c>
    </row>
    <row r="9" ht="60" customHeight="1" s="55">
      <c r="A9" s="62" t="inlineStr">
        <is>
          <t>Evaluating a new agentic tool</t>
        </is>
      </c>
      <c r="B9" s="62" t="inlineStr">
        <is>
          <t>1. Intake Form Part 1, then Part 2 - confirm Agent Autonomy factor is scored 2. Default agentic tools to High or Severe until reviewed 3. Guardrail Checklist filter: In-Scope ≤ risk AND Agentic=Yes 4. Require HITL for Severe actions; require tool-catalog allowlist</t>
        </is>
      </c>
      <c r="C9" s="62" t="inlineStr">
        <is>
          <t>Intake Form, Tool Function Mapping, Guardrail Checklist</t>
        </is>
      </c>
    </row>
    <row r="10" ht="60" customHeight="1" s="55">
      <c r="A10" s="62" t="inlineStr">
        <is>
          <t>Implementing guardrails for an approved tool</t>
        </is>
      </c>
      <c r="B10" s="62" t="inlineStr">
        <is>
          <t>1. Note required Product Families from Intake decision 2. Guardrail Checklist: verify every In-Scope item 3. Select products from AI Security Tool Landscape per family 4. Collect evidence artifacts per checklist</t>
        </is>
      </c>
      <c r="C10" s="62" t="inlineStr">
        <is>
          <t>Guardrail Checklist, Tool Landscape</t>
        </is>
      </c>
    </row>
    <row r="11" ht="60" customHeight="1" s="55">
      <c r="A11" s="62" t="inlineStr">
        <is>
          <t>Conducting a periodic review</t>
        </is>
      </c>
      <c r="B11" s="62" t="inlineStr">
        <is>
          <t>1. Find tool in Registry → note risk + last review 2. Cadence: Low=annual | Medium=semi-annual | High=quarterly | Severe=monthly 3. Re-verify Guardrail Checklist 4. Update Registry with review date and findings</t>
        </is>
      </c>
      <c r="C11" s="62" t="inlineStr">
        <is>
          <t>Tool Registry, Guardrail Checklist</t>
        </is>
      </c>
    </row>
    <row r="12" ht="45.75" customHeight="1" s="55">
      <c r="A12" s="62" t="inlineStr">
        <is>
          <t>Handling risk re-classification</t>
        </is>
      </c>
      <c r="B12" s="62" t="inlineStr">
        <is>
          <t>1. Governance Guide §6 triggers 2. Re-assess with Intake Form Part 2 factors 3. If risk increases: re-approve and add guardrails 4. Update Registry</t>
        </is>
      </c>
      <c r="C12" s="62" t="inlineStr">
        <is>
          <t>Governance Guide, Intake Form, Tool Registry</t>
        </is>
      </c>
    </row>
    <row r="13" ht="60" customHeight="1" s="55">
      <c r="A13" s="62" t="inlineStr">
        <is>
          <t>Handling a vendor acquisition (new in v2.0)</t>
        </is>
      </c>
      <c r="B13" s="62" t="inlineStr">
        <is>
          <t>1. Within 48h: assess new parent; review DPA; check data residency 2. Within 30 days: formal re-evaluation if material change 3. If residency / policy changes: re-classify 4. Update Registry with acquisition note</t>
        </is>
      </c>
      <c r="C13" s="62" t="inlineStr">
        <is>
          <t>Governance Guide §5 Tier 3, Tool Registry</t>
        </is>
      </c>
    </row>
    <row r="14" ht="45.75" customHeight="1" s="55">
      <c r="A14" s="62" t="inlineStr">
        <is>
          <t>Handling a model version change (new in v2.0)</t>
        </is>
      </c>
      <c r="B14" s="62" t="inlineStr">
        <is>
          <t>1. Model version pinning guardrail triggers review on upgrade 2. Run eval suite against new version before prod deploy 3. Staged rollout; rollback procedure ready 4. Record new version in Registry</t>
        </is>
      </c>
      <c r="C14" s="62" t="inlineStr">
        <is>
          <t>Guardrail Checklist, Governance Guide §8 (new), Tool Registry</t>
        </is>
      </c>
    </row>
    <row r="15" ht="60" customHeight="1" s="55">
      <c r="A15" s="62" t="inlineStr">
        <is>
          <t>Emergency tool adoption (surge)</t>
        </is>
      </c>
      <c r="B15" s="62" t="inlineStr">
        <is>
          <t>1. Exception Tracker type = Emergency Use (48h retroactive CISO) 2. Manual review of flagged interactions during emergency window 3. Convert to standard approval or close within 30 days 4. Post-emergency review</t>
        </is>
      </c>
      <c r="C15" s="62" t="inlineStr">
        <is>
          <t>Exception Tracker, Governance Guide §4</t>
        </is>
      </c>
    </row>
    <row r="16" ht="45.75" customHeight="1" s="55">
      <c r="A16" s="62" t="inlineStr">
        <is>
          <t>Decommissioning a tool</t>
        </is>
      </c>
      <c r="B16" s="62" t="inlineStr">
        <is>
          <t>1. Governance Guide §7 ten-step process 2. Data inventory, export, and deletion 3. Revoke access, rotate credentials, remove integrations 4. Update Registry status to Decommissioned</t>
        </is>
      </c>
      <c r="C16" s="62" t="inlineStr">
        <is>
          <t>Governance Guide, Tool Registry</t>
        </is>
      </c>
    </row>
    <row r="17" ht="60" customHeight="1" s="55">
      <c r="A17" s="62" t="inlineStr">
        <is>
          <t>Selecting security vendors</t>
        </is>
      </c>
      <c r="B17" s="62" t="inlineStr">
        <is>
          <t>1. Identify required families from Intake or Checklist 2. Tool Landscape → filter by Primary Family 3. Review vendors; check secondary/tertiary coverage 4. Deployment model and pricing tier matter - controls are often tier-gated</t>
        </is>
      </c>
      <c r="C17" s="62" t="inlineStr">
        <is>
          <t>Tool Landscape</t>
        </is>
      </c>
    </row>
    <row r="18" ht="60" customHeight="1" s="55">
      <c r="A18" s="62" t="inlineStr">
        <is>
          <t>Preparing for a compliance audit</t>
        </is>
      </c>
      <c r="B18" s="62" t="inlineStr">
        <is>
          <t>1. Compliance Mapping → identify relevant frameworks 2. Export completed Guardrail Checklists as evidence 3. Use Registry for inventory, Governance Guide for program maturity 4. Program Metrics for program-effectiveness evidence</t>
        </is>
      </c>
      <c r="C18" s="62" t="inlineStr">
        <is>
          <t>Compliance Mapping, Guardrail Checklist, Registry, Program Metrics</t>
        </is>
      </c>
    </row>
    <row r="19" ht="45.75" customHeight="1" s="55">
      <c r="A19" s="62" t="inlineStr">
        <is>
          <t>Reporting on program effectiveness</t>
        </is>
      </c>
      <c r="B19" s="62" t="inlineStr">
        <is>
          <t>1. Program Metrics KPIs and SLOs 2. Framework metrics for compliance audiences 3. Reporting cadence table (monthly / quarterly / per-incident) 4. Maturity assessment for executive reporting</t>
        </is>
      </c>
      <c r="C19" s="62" t="inlineStr">
        <is>
          <t>Program Metrics</t>
        </is>
      </c>
    </row>
    <row r="21" ht="18" customHeight="1" s="55">
      <c r="A21" s="59" t="inlineStr">
        <is>
          <t>Key concepts</t>
        </is>
      </c>
    </row>
    <row r="22" ht="18" customHeight="1" s="55">
      <c r="A22" s="61" t="inlineStr">
        <is>
          <t>Term</t>
        </is>
      </c>
      <c r="B22" s="61" t="inlineStr">
        <is>
          <t>Definition</t>
        </is>
      </c>
      <c r="C22" s="61" t="n"/>
    </row>
    <row r="23" ht="31.5" customHeight="1" s="55">
      <c r="A23" s="62" t="inlineStr">
        <is>
          <t>Risk Levels</t>
        </is>
      </c>
      <c r="B23" s="62" t="inlineStr">
        <is>
          <t>Low (standard approval) / Medium (dept lead) / High (committee) / Severe (exception). Driven by Intake Form Part 2 risk factors; the highest-rated factor sets the overall level.</t>
        </is>
      </c>
      <c r="C23" s="66" t="n"/>
    </row>
    <row r="24" ht="31.5" customHeight="1" s="55">
      <c r="A24" s="62" t="inlineStr">
        <is>
          <t>Product Families</t>
        </is>
      </c>
      <c r="B24" s="62" t="inlineStr">
        <is>
          <t>Seven families: AI Posture &amp; Governance, Runtime Protection, Shadow AI &amp; Discovery, Observability, Data Protection, NHI &amp; Agentic Access, AI Supply Chain. Most vendors span multiple families.</t>
        </is>
      </c>
      <c r="C24" s="66" t="n"/>
    </row>
    <row r="25" ht="31.5" customHeight="1" s="55">
      <c r="A25" s="62" t="inlineStr">
        <is>
          <t>Guardrails</t>
        </is>
      </c>
      <c r="B25" s="62" t="inlineStr">
        <is>
          <t>63 specific controls grouped by family. Each has an In-Scope tier (All / Med+ / High+ / Severe) and an Agentic flag (Yes / No). Both dimensions matter.</t>
        </is>
      </c>
      <c r="C25" s="66" t="n"/>
    </row>
    <row r="26" ht="31.5" customHeight="1" s="55">
      <c r="A26" s="62" t="inlineStr">
        <is>
          <t>Tool Lifecycle</t>
        </is>
      </c>
      <c r="B26" s="62" t="inlineStr">
        <is>
          <t>Eight steps: Request → Classify → Approve → Define Guardrails → Implement → Verify → Activate → Review → Enforce. Full workflow in Governance Guide §2.</t>
        </is>
      </c>
      <c r="C26" s="66" t="n"/>
    </row>
    <row r="27" ht="31.5" customHeight="1" s="55">
      <c r="A27" s="62" t="inlineStr">
        <is>
          <t>Agentic (new dimension)</t>
        </is>
      </c>
      <c r="B27" s="62" t="inlineStr">
        <is>
          <t>A tool is agentic if it takes actions autonomously (not just generates text). Agentic tools get extra guardrails regardless of risk tier - spawn limits, tool auth, action attestation.</t>
        </is>
      </c>
      <c r="C27" s="66" t="n"/>
    </row>
    <row r="28" ht="31.5" customHeight="1" s="55">
      <c r="A28" s="62" t="inlineStr">
        <is>
          <t>Exception</t>
        </is>
      </c>
      <c r="B28" s="62" t="inlineStr">
        <is>
          <t>A time-bounded deviation from the standard policy for a Severe-risk tool, a guardrail that cannot be implemented, or an emergency use case. Renewals required.</t>
        </is>
      </c>
      <c r="C28" s="66" t="n"/>
    </row>
    <row r="29" ht="31.5" customHeight="1" s="55">
      <c r="A29" s="62" t="inlineStr">
        <is>
          <t>3-Tier Family Mapping</t>
        </is>
      </c>
      <c r="B29" s="62" t="inlineStr">
        <is>
          <t>Vendors are tagged with Primary, Secondary, and Tertiary families. Reveals overlap across vendors, which helps identify consolidation opportunities.</t>
        </is>
      </c>
      <c r="C29" s="66" t="n"/>
    </row>
    <row r="30" ht="31.5" customHeight="1" s="55">
      <c r="A30" s="62" t="inlineStr">
        <is>
          <t>AI Supply Chain</t>
        </is>
      </c>
      <c r="B30" s="62" t="inlineStr">
        <is>
          <t>Controls for model provenance, training data lineage, ML pipeline security, third-party model assessment, plugin / MCP validation. Critical as orgs consume external AI.</t>
        </is>
      </c>
      <c r="C30" s="66" t="n"/>
    </row>
    <row r="32" ht="18" customHeight="1" s="55">
      <c r="A32" s="59" t="inlineStr">
        <is>
          <t>Customizing for your organization</t>
        </is>
      </c>
    </row>
    <row r="33" ht="18" customHeight="1" s="55">
      <c r="A33" s="61" t="inlineStr">
        <is>
          <t>Tab</t>
        </is>
      </c>
      <c r="B33" s="61" t="inlineStr">
        <is>
          <t>Common customizations</t>
        </is>
      </c>
      <c r="C33" s="61" t="n"/>
    </row>
    <row r="34" ht="18" customHeight="1" s="55">
      <c r="A34" s="62" t="inlineStr">
        <is>
          <t>Governance Guide</t>
        </is>
      </c>
      <c r="B34" s="62" t="inlineStr">
        <is>
          <t>Committee roles, review cadences, enforcement actions, your IR playbook</t>
        </is>
      </c>
      <c r="C34" s="66" t="n"/>
    </row>
    <row r="35" ht="18" customHeight="1" s="55">
      <c r="A35" s="62" t="inlineStr">
        <is>
          <t>Tool Registry</t>
        </is>
      </c>
      <c r="B35" s="62" t="inlineStr">
        <is>
          <t>Cost center, contract expiration, data residency, user and agent counts, annual spend</t>
        </is>
      </c>
      <c r="C35" s="66" t="n"/>
    </row>
    <row r="36" ht="18" customHeight="1" s="55">
      <c r="A36" s="62" t="inlineStr">
        <is>
          <t>Intake Form</t>
        </is>
      </c>
      <c r="B36" s="62" t="inlineStr">
        <is>
          <t>Organization-specific questions (budget codes, privacy review status, sponsor approvals)</t>
        </is>
      </c>
      <c r="C36" s="66" t="n"/>
    </row>
    <row r="37" ht="18" customHeight="1" s="55">
      <c r="A37" s="62" t="inlineStr">
        <is>
          <t>Guardrail Checklist</t>
        </is>
      </c>
      <c r="B37" s="62" t="inlineStr">
        <is>
          <t>Add or remove guardrails; adjust In-Scope tiers; add org-specific evidence artifacts</t>
        </is>
      </c>
      <c r="C37" s="66" t="n"/>
    </row>
    <row r="38" ht="18" customHeight="1" s="55">
      <c r="A38" s="62" t="inlineStr">
        <is>
          <t>Tool Function Mapping</t>
        </is>
      </c>
      <c r="B38" s="62" t="inlineStr">
        <is>
          <t>Add environment-specific functions; adjust recommended products to your preferred vendors</t>
        </is>
      </c>
      <c r="C38" s="66" t="n"/>
    </row>
    <row r="39" ht="18" customHeight="1" s="55">
      <c r="A39" s="62" t="inlineStr">
        <is>
          <t>Compliance Mapping</t>
        </is>
      </c>
      <c r="B39" s="62" t="inlineStr">
        <is>
          <t>Add frameworks specific to your industry / jurisdiction; narrow to the ones you actually audit</t>
        </is>
      </c>
      <c r="C39" s="66" t="n"/>
    </row>
    <row r="40" ht="18" customHeight="1" s="55">
      <c r="A40" s="62" t="inlineStr">
        <is>
          <t>Program Metrics</t>
        </is>
      </c>
      <c r="B40" s="62" t="inlineStr">
        <is>
          <t>Add metrics your program tracks; adjust SLO targets to your maturity stage</t>
        </is>
      </c>
      <c r="C40" s="66" t="n"/>
    </row>
  </sheetData>
  <mergeCells count="20">
    <mergeCell ref="B25:C25"/>
    <mergeCell ref="A3:C3"/>
    <mergeCell ref="A21:C21"/>
    <mergeCell ref="B27:C27"/>
    <mergeCell ref="B39:C39"/>
    <mergeCell ref="A5:C5"/>
    <mergeCell ref="A32:C32"/>
    <mergeCell ref="B23:C23"/>
    <mergeCell ref="B38:C38"/>
    <mergeCell ref="B29:C29"/>
    <mergeCell ref="B34:C34"/>
    <mergeCell ref="B37:C37"/>
    <mergeCell ref="B28:C28"/>
    <mergeCell ref="B40:C40"/>
    <mergeCell ref="B24:C24"/>
    <mergeCell ref="B30:C30"/>
    <mergeCell ref="A1:C1"/>
    <mergeCell ref="B36:C36"/>
    <mergeCell ref="B26:C26"/>
    <mergeCell ref="B35:C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11" activeCellId="0" sqref="A111"/>
    </sheetView>
  </sheetViews>
  <sheetFormatPr baseColWidth="8" defaultColWidth="8.83203125" defaultRowHeight="15" customHeight="0" zeroHeight="0" outlineLevelRow="0"/>
  <cols>
    <col width="30" customWidth="1" style="54" min="1" max="1"/>
    <col width="40" customWidth="1" style="54" min="2" max="2"/>
    <col width="20" customWidth="1" style="54" min="3" max="3"/>
    <col width="30" customWidth="1" style="54" min="4" max="4"/>
    <col width="14" customWidth="1" style="54" min="5" max="5"/>
  </cols>
  <sheetData>
    <row r="1" ht="25.5" customHeight="1" s="55">
      <c r="A1" s="56" t="inlineStr">
        <is>
          <t>AI Tool Governance Guide</t>
        </is>
      </c>
    </row>
    <row r="3" ht="18" customHeight="1" s="55">
      <c r="A3" s="60" t="inlineStr">
        <is>
          <t>Program framework: committee, lifecycle, review, enforcement, incident response, model-version review, decommissioning. v2.0 (April 2026).</t>
        </is>
      </c>
    </row>
    <row r="5" ht="18" customHeight="1" s="55">
      <c r="A5" s="59" t="inlineStr">
        <is>
          <t>1. Governance Committee</t>
        </is>
      </c>
    </row>
    <row r="6" ht="31.5" customHeight="1" s="55">
      <c r="A6" s="60" t="inlineStr">
        <is>
          <t>Cross-functional body that owns classification, approves deployments, and handles exceptions. The goal is to enable responsible AI adoption. Security is a partner, not an office of no.</t>
        </is>
      </c>
    </row>
    <row r="8" ht="18" customHeight="1" s="55">
      <c r="A8" s="61" t="inlineStr">
        <is>
          <t>Role</t>
        </is>
      </c>
      <c r="B8" s="61" t="inlineStr">
        <is>
          <t>Responsibility</t>
        </is>
      </c>
      <c r="C8" s="61" t="inlineStr">
        <is>
          <t>Required</t>
        </is>
      </c>
      <c r="D8" s="61" t="n"/>
      <c r="E8" s="61" t="n"/>
    </row>
    <row r="9" ht="18" customHeight="1" s="55">
      <c r="A9" s="62" t="inlineStr">
        <is>
          <t>Security &amp; Risk Lead</t>
        </is>
      </c>
      <c r="B9" s="62" t="inlineStr">
        <is>
          <t>Threat evaluation, compliance impact, risk classification</t>
        </is>
      </c>
      <c r="C9" s="65" t="n"/>
      <c r="D9" s="66" t="n"/>
      <c r="E9" s="62" t="n"/>
    </row>
    <row r="10" ht="18" customHeight="1" s="55">
      <c r="A10" s="62" t="inlineStr">
        <is>
          <t>IT Operations Lead</t>
        </is>
      </c>
      <c r="B10" s="62" t="inlineStr">
        <is>
          <t>Integration feasibility; owns implementation</t>
        </is>
      </c>
      <c r="C10" s="65" t="n"/>
      <c r="D10" s="66" t="n"/>
      <c r="E10" s="62" t="n"/>
    </row>
    <row r="11" ht="18" customHeight="1" s="55">
      <c r="A11" s="62" t="inlineStr">
        <is>
          <t>Data Governance Representative</t>
        </is>
      </c>
      <c r="B11" s="62" t="inlineStr">
        <is>
          <t>Alignment with data protection and access policies</t>
        </is>
      </c>
      <c r="C11" s="65" t="n"/>
      <c r="D11" s="66" t="n"/>
      <c r="E11" s="62" t="n"/>
    </row>
    <row r="12" ht="18" customHeight="1" s="55">
      <c r="A12" s="62" t="inlineStr">
        <is>
          <t>Development Lead</t>
        </is>
      </c>
      <c r="B12" s="62" t="inlineStr">
        <is>
          <t>Represents tool users; practicality of controls</t>
        </is>
      </c>
      <c r="C12" s="65" t="n"/>
      <c r="D12" s="66" t="n"/>
      <c r="E12" s="62" t="n"/>
    </row>
    <row r="13" ht="18" customHeight="1" s="55">
      <c r="A13" s="62" t="inlineStr">
        <is>
          <t>Legal / Privacy Officer</t>
        </is>
      </c>
      <c r="B13" s="62" t="inlineStr">
        <is>
          <t>Regulatory, DPA, sub-processor, cross-border data review</t>
        </is>
      </c>
      <c r="C13" s="65" t="n"/>
      <c r="D13" s="66" t="n"/>
      <c r="E13" s="62" t="n"/>
    </row>
    <row r="14" ht="18" customHeight="1" s="55">
      <c r="A14" s="62" t="inlineStr">
        <is>
          <t>Compliance Officer</t>
        </is>
      </c>
      <c r="B14" s="62" t="inlineStr">
        <is>
          <t>Framework alignment and audit readiness</t>
        </is>
      </c>
      <c r="C14" s="65" t="n"/>
      <c r="D14" s="66" t="n"/>
      <c r="E14" s="62" t="n"/>
    </row>
    <row r="15" ht="18" customHeight="1" s="55">
      <c r="A15" s="62" t="inlineStr">
        <is>
          <t>Business Unit Sponsor</t>
        </is>
      </c>
      <c r="B15" s="62" t="inlineStr">
        <is>
          <t>Justification; owns risk acceptance for exceptions</t>
        </is>
      </c>
      <c r="C15" s="65" t="n"/>
      <c r="D15" s="66" t="n"/>
      <c r="E15" s="62" t="n"/>
    </row>
    <row r="16" ht="18" customHeight="1" s="55">
      <c r="A16" s="62" t="inlineStr">
        <is>
          <t>AI / ML Platform Lead</t>
        </is>
      </c>
      <c r="B16" s="62" t="inlineStr">
        <is>
          <t>Technical review of agentic and pipeline risk</t>
        </is>
      </c>
      <c r="C16" s="65" t="n"/>
      <c r="D16" s="66" t="n"/>
      <c r="E16" s="62" t="n"/>
    </row>
    <row r="18" ht="18" customHeight="1" s="55">
      <c r="A18" s="59" t="inlineStr">
        <is>
          <t>2. Tool Lifecycle Workflow</t>
        </is>
      </c>
    </row>
    <row r="19" ht="18" customHeight="1" s="55">
      <c r="A19" s="60" t="inlineStr">
        <is>
          <t>End-to-end process from request to ongoing review.</t>
        </is>
      </c>
    </row>
    <row r="21" ht="18" customHeight="1" s="55">
      <c r="A21" s="61" t="inlineStr">
        <is>
          <t>Step</t>
        </is>
      </c>
      <c r="B21" s="61" t="inlineStr">
        <is>
          <t>Action</t>
        </is>
      </c>
      <c r="C21" s="61" t="inlineStr">
        <is>
          <t>Owner</t>
        </is>
      </c>
      <c r="D21" s="61" t="inlineStr">
        <is>
          <t>Output</t>
        </is>
      </c>
      <c r="E21" s="61" t="n"/>
    </row>
    <row r="22" ht="31.5" customHeight="1" s="55">
      <c r="A22" s="62" t="inlineStr">
        <is>
          <t>1. Submit Request</t>
        </is>
      </c>
      <c r="B22" s="62" t="inlineStr">
        <is>
          <t>Requestor provides tool, vendor, use case, data, integrations, justification</t>
        </is>
      </c>
      <c r="C22" s="62" t="inlineStr">
        <is>
          <t>Requestor</t>
        </is>
      </c>
      <c r="D22" s="62" t="inlineStr">
        <is>
          <t>Completed Intake Form Part 1</t>
        </is>
      </c>
      <c r="E22" s="62" t="n"/>
    </row>
    <row r="23" ht="31.5" customHeight="1" s="55">
      <c r="A23" s="62" t="inlineStr">
        <is>
          <t>2. Classify Risk</t>
        </is>
      </c>
      <c r="B23" s="62" t="inlineStr">
        <is>
          <t>Evaluate against 7 risk factors; identify all tool functions</t>
        </is>
      </c>
      <c r="C23" s="62" t="inlineStr">
        <is>
          <t>Security Lead</t>
        </is>
      </c>
      <c r="D23" s="62" t="inlineStr">
        <is>
          <t>Risk level assigned</t>
        </is>
      </c>
      <c r="E23" s="62" t="n"/>
    </row>
    <row r="24" ht="31.5" customHeight="1" s="55">
      <c r="A24" s="62" t="inlineStr">
        <is>
          <t>3. Route Approval</t>
        </is>
      </c>
      <c r="B24" s="62" t="inlineStr">
        <is>
          <t>Low=standard | Medium=dept lead | High=committee | Severe=exception</t>
        </is>
      </c>
      <c r="C24" s="62" t="inlineStr">
        <is>
          <t>Security Lead</t>
        </is>
      </c>
      <c r="D24" s="62" t="inlineStr">
        <is>
          <t>Approval obtained</t>
        </is>
      </c>
      <c r="E24" s="62" t="n"/>
    </row>
    <row r="25" ht="31.5" customHeight="1" s="55">
      <c r="A25" s="62" t="inlineStr">
        <is>
          <t>4. Define Guardrails</t>
        </is>
      </c>
      <c r="B25" s="62" t="inlineStr">
        <is>
          <t>Map controls from Tool Function Mapping; select products per family</t>
        </is>
      </c>
      <c r="C25" s="62" t="inlineStr">
        <is>
          <t>Security + IT Ops</t>
        </is>
      </c>
      <c r="D25" s="62" t="inlineStr">
        <is>
          <t>Completed guardrail list</t>
        </is>
      </c>
      <c r="E25" s="62" t="n"/>
    </row>
    <row r="26" ht="31.5" customHeight="1" s="55">
      <c r="A26" s="62" t="inlineStr">
        <is>
          <t>5. Implement Controls</t>
        </is>
      </c>
      <c r="B26" s="62" t="inlineStr">
        <is>
          <t>Deploy guardrails; configure access, logging, DLP, monitoring</t>
        </is>
      </c>
      <c r="C26" s="62" t="inlineStr">
        <is>
          <t>IT Operations</t>
        </is>
      </c>
      <c r="D26" s="62" t="inlineStr">
        <is>
          <t>Controls operational</t>
        </is>
      </c>
      <c r="E26" s="62" t="n"/>
    </row>
    <row r="27" ht="31.5" customHeight="1" s="55">
      <c r="A27" s="62" t="inlineStr">
        <is>
          <t>6. Verify &amp; Activate</t>
        </is>
      </c>
      <c r="B27" s="62" t="inlineStr">
        <is>
          <t>Confirm guardrails; document in governance log; grant access</t>
        </is>
      </c>
      <c r="C27" s="62" t="inlineStr">
        <is>
          <t>Committee</t>
        </is>
      </c>
      <c r="D27" s="62" t="inlineStr">
        <is>
          <t>Tool activated</t>
        </is>
      </c>
      <c r="E27" s="62" t="n"/>
    </row>
    <row r="28" ht="31.5" customHeight="1" s="55">
      <c r="A28" s="62" t="inlineStr">
        <is>
          <t>7. Periodic Review</t>
        </is>
      </c>
      <c r="B28" s="62" t="inlineStr">
        <is>
          <t>Risk unchanged + guardrails operational + no policy violations</t>
        </is>
      </c>
      <c r="C28" s="62" t="inlineStr">
        <is>
          <t>Security Lead</t>
        </is>
      </c>
      <c r="D28" s="62" t="inlineStr">
        <is>
          <t>Review completed</t>
        </is>
      </c>
      <c r="E28" s="62" t="n"/>
    </row>
    <row r="29" ht="31.5" customHeight="1" s="55">
      <c r="A29" s="62" t="inlineStr">
        <is>
          <t>8. Enforce / Remediate</t>
        </is>
      </c>
      <c r="B29" s="62" t="inlineStr">
        <is>
          <t>Pass: schedule next review. Fail: remediation window or disable/revoke</t>
        </is>
      </c>
      <c r="C29" s="62" t="inlineStr">
        <is>
          <t>Committee</t>
        </is>
      </c>
      <c r="D29" s="62" t="inlineStr">
        <is>
          <t>Continued use or action taken</t>
        </is>
      </c>
      <c r="E29" s="62" t="n"/>
    </row>
    <row r="31" ht="18" customHeight="1" s="55">
      <c r="A31" s="59" t="inlineStr">
        <is>
          <t>3. Review requirements by risk level</t>
        </is>
      </c>
    </row>
    <row r="32" ht="18" customHeight="1" s="55">
      <c r="A32" s="60" t="inlineStr">
        <is>
          <t>Each review verifies both that the classification is still accurate AND that required guardrails are operational.</t>
        </is>
      </c>
    </row>
    <row r="34" ht="18" customHeight="1" s="55">
      <c r="A34" s="61" t="inlineStr">
        <is>
          <t>Risk Level</t>
        </is>
      </c>
      <c r="B34" s="61" t="inlineStr">
        <is>
          <t>Frequency</t>
        </is>
      </c>
      <c r="C34" s="61" t="inlineStr">
        <is>
          <t>Review Checklist</t>
        </is>
      </c>
      <c r="D34" s="61" t="inlineStr">
        <is>
          <t>If Non-Compliant</t>
        </is>
      </c>
      <c r="E34" s="61" t="n"/>
    </row>
    <row r="35" ht="73.5" customHeight="1" s="55">
      <c r="A35" s="67" t="inlineStr">
        <is>
          <t>Low</t>
        </is>
      </c>
      <c r="B35" s="62" t="inlineStr">
        <is>
          <t>Annually</t>
        </is>
      </c>
      <c r="C35" s="62" t="inlineStr">
        <is>
          <t>☐ Tool still in active use ☐ Risk factors unchanged ☐ No security incidents ☐ Vendor still supported</t>
        </is>
      </c>
      <c r="D35" s="62" t="inlineStr">
        <is>
          <t>Flag for re-evaluation; consider decommissioning if unused</t>
        </is>
      </c>
      <c r="E35" s="62" t="n"/>
    </row>
    <row r="36" ht="73.5" customHeight="1" s="55">
      <c r="A36" s="68" t="inlineStr">
        <is>
          <t>Medium</t>
        </is>
      </c>
      <c r="B36" s="62" t="inlineStr">
        <is>
          <t>Semi-annually</t>
        </is>
      </c>
      <c r="C36" s="62" t="inlineStr">
        <is>
          <t>☐ Guardrails operational ☐ Access logs reviewed ☐ No policy violations ☐ Vendor posture current</t>
        </is>
      </c>
      <c r="D36" s="62" t="inlineStr">
        <is>
          <t>30-day remediation; disable if not resolved</t>
        </is>
      </c>
      <c r="E36" s="62" t="n"/>
    </row>
    <row r="37" ht="87.75" customHeight="1" s="55">
      <c r="A37" s="69" t="inlineStr">
        <is>
          <t>High</t>
        </is>
      </c>
      <c r="B37" s="62" t="inlineStr">
        <is>
          <t>Quarterly</t>
        </is>
      </c>
      <c r="C37" s="62" t="inlineStr">
        <is>
          <t>☐ Mandatory controls functional ☐ Audit logs archived ☐ Access roster current ☐ Committee sign-off ☐ IR plan current</t>
        </is>
      </c>
      <c r="D37" s="62" t="inlineStr">
        <is>
          <t>Immediate disable; 14-day remediation; re-approval required</t>
        </is>
      </c>
      <c r="E37" s="62" t="n"/>
    </row>
    <row r="38" ht="87.75" customHeight="1" s="55">
      <c r="A38" s="70" t="inlineStr">
        <is>
          <t>Severe</t>
        </is>
      </c>
      <c r="B38" s="62" t="inlineStr">
        <is>
          <t>Monthly + per-use</t>
        </is>
      </c>
      <c r="C38" s="62" t="inlineStr">
        <is>
          <t>☐ Exception valid ☐ Mitigations in place ☐ Continuous monitoring ☐ No incidents or near-misses ☐ Business need reconfirmed</t>
        </is>
      </c>
      <c r="D38" s="62" t="inlineStr">
        <is>
          <t>Immediate revocation; new exception required</t>
        </is>
      </c>
      <c r="E38" s="62" t="n"/>
    </row>
    <row r="40" ht="18" customHeight="1" s="55">
      <c r="A40" s="59" t="inlineStr">
        <is>
          <t>4. Exception process</t>
        </is>
      </c>
    </row>
    <row r="41" ht="31.5" customHeight="1" s="55">
      <c r="A41" s="60" t="inlineStr">
        <is>
          <t>Severe-risk tools are prohibited by default. Exceptions require formal justification, security review, time-bounded approval, and documented compensating controls.</t>
        </is>
      </c>
    </row>
    <row r="43" ht="18" customHeight="1" s="55">
      <c r="A43" s="61" t="inlineStr">
        <is>
          <t>Step</t>
        </is>
      </c>
      <c r="B43" s="61" t="inlineStr">
        <is>
          <t>Description</t>
        </is>
      </c>
      <c r="C43" s="61" t="inlineStr">
        <is>
          <t>Documentation Required</t>
        </is>
      </c>
      <c r="D43" s="61" t="n"/>
      <c r="E43" s="61" t="n"/>
    </row>
    <row r="44" ht="31.5" customHeight="1" s="55">
      <c r="A44" s="62" t="inlineStr">
        <is>
          <t>1. Business Justification</t>
        </is>
      </c>
      <c r="B44" s="62" t="inlineStr">
        <is>
          <t>Explain why tool is necessary; why no lower-risk alternative</t>
        </is>
      </c>
      <c r="C44" s="62" t="inlineStr">
        <is>
          <t>Written justification, alternatives analysis, sponsor sign-off</t>
        </is>
      </c>
      <c r="D44" s="65" t="n"/>
      <c r="E44" s="66" t="n"/>
    </row>
    <row r="45" ht="31.5" customHeight="1" s="55">
      <c r="A45" s="62" t="inlineStr">
        <is>
          <t>2. Security Assessment</t>
        </is>
      </c>
      <c r="B45" s="62" t="inlineStr">
        <is>
          <t>Evaluate threats, compliance risks, required mitigations</t>
        </is>
      </c>
      <c r="C45" s="62" t="inlineStr">
        <is>
          <t>Threat model, compliance impact, mitigation plan</t>
        </is>
      </c>
      <c r="D45" s="65" t="n"/>
      <c r="E45" s="66" t="n"/>
    </row>
    <row r="46" ht="31.5" customHeight="1" s="55">
      <c r="A46" s="62" t="inlineStr">
        <is>
          <t>3. Committee Review</t>
        </is>
      </c>
      <c r="B46" s="62" t="inlineStr">
        <is>
          <t>Committee reviews and votes; majority required; votes recorded</t>
        </is>
      </c>
      <c r="C46" s="62" t="inlineStr">
        <is>
          <t>Meeting minutes, vote record, conditions imposed</t>
        </is>
      </c>
      <c r="D46" s="65" t="n"/>
      <c r="E46" s="66" t="n"/>
    </row>
    <row r="47" ht="31.5" customHeight="1" s="55">
      <c r="A47" s="62" t="inlineStr">
        <is>
          <t>4. Conditional Approval</t>
        </is>
      </c>
      <c r="B47" s="62" t="inlineStr">
        <is>
          <t>Exception granted with specific controls, monitoring, expiration</t>
        </is>
      </c>
      <c r="C47" s="62" t="inlineStr">
        <is>
          <t>Approval letter, control requirements, expiration date</t>
        </is>
      </c>
      <c r="D47" s="65" t="n"/>
      <c r="E47" s="66" t="n"/>
    </row>
    <row r="48" ht="31.5" customHeight="1" s="55">
      <c r="A48" s="62" t="inlineStr">
        <is>
          <t>5. Implementation</t>
        </is>
      </c>
      <c r="B48" s="62" t="inlineStr">
        <is>
          <t>Controls deployed and verified before tool activation</t>
        </is>
      </c>
      <c r="C48" s="62" t="inlineStr">
        <is>
          <t>Control verification checklist, sign-off</t>
        </is>
      </c>
      <c r="D48" s="65" t="n"/>
      <c r="E48" s="66" t="n"/>
    </row>
    <row r="49" ht="18" customHeight="1" s="55">
      <c r="A49" s="62" t="inlineStr">
        <is>
          <t>6. Renewal / Expiration</t>
        </is>
      </c>
      <c r="B49" s="62" t="inlineStr">
        <is>
          <t>Auto-expires; renewal requires fresh review</t>
        </is>
      </c>
      <c r="C49" s="62" t="inlineStr">
        <is>
          <t>Renewal request or decommission confirmation</t>
        </is>
      </c>
      <c r="D49" s="65" t="n"/>
      <c r="E49" s="66" t="n"/>
    </row>
    <row r="51" ht="18" customHeight="1" s="55">
      <c r="A51" s="59" t="inlineStr">
        <is>
          <t>5. Tiered access revocation</t>
        </is>
      </c>
    </row>
    <row r="52" ht="31.5" customHeight="1" s="55">
      <c r="A52" s="60" t="inlineStr">
        <is>
          <t>Proportional response. Three tiers with defined triggers, timelines, and authority. Severity sub-tier within Tier 2 depends on which guardrail family is affected.</t>
        </is>
      </c>
    </row>
    <row r="54" ht="18" customHeight="1" s="55">
      <c r="A54" s="80" t="inlineStr">
        <is>
          <t>TIER 1 - KILL SWITCH (immediate, &lt; 15 min)</t>
        </is>
      </c>
    </row>
    <row r="55" ht="18" customHeight="1" s="55">
      <c r="A55" s="61" t="inlineStr">
        <is>
          <t>Trigger</t>
        </is>
      </c>
      <c r="B55" s="61" t="inlineStr">
        <is>
          <t>Action</t>
        </is>
      </c>
      <c r="C55" s="61" t="inlineStr">
        <is>
          <t>Timeline</t>
        </is>
      </c>
      <c r="D55" s="61" t="inlineStr">
        <is>
          <t>Authority</t>
        </is>
      </c>
      <c r="E55" s="61" t="n"/>
    </row>
    <row r="56" ht="31.5" customHeight="1" s="55">
      <c r="A56" s="62" t="inlineStr">
        <is>
          <t>Active data exfiltration detected</t>
        </is>
      </c>
      <c r="B56" s="62" t="inlineStr">
        <is>
          <t>Disable tool; block network; preserve evidence</t>
        </is>
      </c>
      <c r="C56" s="62" t="inlineStr">
        <is>
          <t>&lt; 15 min</t>
        </is>
      </c>
      <c r="D56" s="62" t="inlineStr">
        <is>
          <t>Security analyst</t>
        </is>
      </c>
      <c r="E56" s="62" t="n"/>
    </row>
    <row r="57" ht="31.5" customHeight="1" s="55">
      <c r="A57" s="62" t="inlineStr">
        <is>
          <t>Credential compromise with active misuse</t>
        </is>
      </c>
      <c r="B57" s="62" t="inlineStr">
        <is>
          <t>Disable tool; rotate credentials; isolate systems</t>
        </is>
      </c>
      <c r="C57" s="62" t="inlineStr">
        <is>
          <t>&lt; 15 min</t>
        </is>
      </c>
      <c r="D57" s="62" t="inlineStr">
        <is>
          <t>Security analyst</t>
        </is>
      </c>
      <c r="E57" s="62" t="n"/>
    </row>
    <row r="58" ht="31.5" customHeight="1" s="55">
      <c r="A58" s="62" t="inlineStr">
        <is>
          <t>Active security incident / breach in progress</t>
        </is>
      </c>
      <c r="B58" s="62" t="inlineStr">
        <is>
          <t>Disable tool; invoke IR playbook; notify leadership</t>
        </is>
      </c>
      <c r="C58" s="62" t="inlineStr">
        <is>
          <t>&lt; 15 min</t>
        </is>
      </c>
      <c r="D58" s="62" t="inlineStr">
        <is>
          <t>Security analyst</t>
        </is>
      </c>
      <c r="E58" s="62" t="n"/>
    </row>
    <row r="59" ht="18" customHeight="1" s="55">
      <c r="A59" s="62" t="inlineStr">
        <is>
          <t>Malicious code execution detected</t>
        </is>
      </c>
      <c r="B59" s="62" t="inlineStr">
        <is>
          <t>Disable tool; isolate host; forensic capture</t>
        </is>
      </c>
      <c r="C59" s="62" t="inlineStr">
        <is>
          <t>&lt; 15 min</t>
        </is>
      </c>
      <c r="D59" s="62" t="inlineStr">
        <is>
          <t>Security analyst</t>
        </is>
      </c>
      <c r="E59" s="62" t="n"/>
    </row>
    <row r="60" ht="31.5" customHeight="1" s="55">
      <c r="A60" s="62" t="inlineStr">
        <is>
          <t>Autonomous agent cascading actions / out of bounds</t>
        </is>
      </c>
      <c r="B60" s="62" t="inlineStr">
        <is>
          <t>Kill-switch; isolate agent identity; audit spawn lineage</t>
        </is>
      </c>
      <c r="C60" s="62" t="inlineStr">
        <is>
          <t>&lt; 15 min</t>
        </is>
      </c>
      <c r="D60" s="62" t="inlineStr">
        <is>
          <t>Security analyst</t>
        </is>
      </c>
      <c r="E60" s="62" t="n"/>
    </row>
    <row r="62" ht="18" customHeight="1" s="55">
      <c r="A62" s="80" t="inlineStr">
        <is>
          <t>TIER 2 - RAPID RESPONSE (1-4 hours, severity by family)</t>
        </is>
      </c>
    </row>
    <row r="63" ht="18" customHeight="1" s="55">
      <c r="A63" s="61" t="inlineStr">
        <is>
          <t>Trigger</t>
        </is>
      </c>
      <c r="B63" s="61" t="inlineStr">
        <is>
          <t>Action</t>
        </is>
      </c>
      <c r="C63" s="61" t="inlineStr">
        <is>
          <t>Timeline</t>
        </is>
      </c>
      <c r="D63" s="61" t="inlineStr">
        <is>
          <t>Authority</t>
        </is>
      </c>
      <c r="E63" s="61" t="n"/>
    </row>
    <row r="64" ht="31.5" customHeight="1" s="55">
      <c r="A64" s="62" t="inlineStr">
        <is>
          <t>Required guardrails non-operational (Data Protection / NHI)</t>
        </is>
      </c>
      <c r="B64" s="62" t="inlineStr">
        <is>
          <t>Disable tool; notify owners; document gap</t>
        </is>
      </c>
      <c r="C64" s="62" t="inlineStr">
        <is>
          <t>&lt; 2 hours</t>
        </is>
      </c>
      <c r="D64" s="62" t="inlineStr">
        <is>
          <t>Security lead</t>
        </is>
      </c>
      <c r="E64" s="62" t="n"/>
    </row>
    <row r="65" ht="31.5" customHeight="1" s="55">
      <c r="A65" s="62" t="inlineStr">
        <is>
          <t>Required guardrails non-operational (Runtime / Observability)</t>
        </is>
      </c>
      <c r="B65" s="62" t="inlineStr">
        <is>
          <t>Disable or degrade; document gap</t>
        </is>
      </c>
      <c r="C65" s="62" t="inlineStr">
        <is>
          <t>&lt; 4 hours</t>
        </is>
      </c>
      <c r="D65" s="62" t="inlineStr">
        <is>
          <t>Security lead</t>
        </is>
      </c>
      <c r="E65" s="62" t="n"/>
    </row>
    <row r="66" ht="31.5" customHeight="1" s="55">
      <c r="A66" s="62" t="inlineStr">
        <is>
          <t>Vendor discloses security incident</t>
        </is>
      </c>
      <c r="B66" s="62" t="inlineStr">
        <is>
          <t>Assess exposure; disable if data at risk; notify</t>
        </is>
      </c>
      <c r="C66" s="62" t="inlineStr">
        <is>
          <t>&lt; 4 hours</t>
        </is>
      </c>
      <c r="D66" s="62" t="inlineStr">
        <is>
          <t>Security lead</t>
        </is>
      </c>
      <c r="E66" s="62" t="n"/>
    </row>
    <row r="67" ht="31.5" customHeight="1" s="55">
      <c r="A67" s="62" t="inlineStr">
        <is>
          <t>Tool accessing data outside approved scope</t>
        </is>
      </c>
      <c r="B67" s="62" t="inlineStr">
        <is>
          <t>Restrict permissions; disable if willful; audit logs</t>
        </is>
      </c>
      <c r="C67" s="62" t="inlineStr">
        <is>
          <t>&lt; 4 hours</t>
        </is>
      </c>
      <c r="D67" s="62" t="inlineStr">
        <is>
          <t>Security lead</t>
        </is>
      </c>
      <c r="E67" s="62" t="n"/>
    </row>
    <row r="68" ht="31.5" customHeight="1" s="55">
      <c r="A68" s="62" t="inlineStr">
        <is>
          <t>Critical vulnerability disclosed (no active exploit)</t>
        </is>
      </c>
      <c r="B68" s="62" t="inlineStr">
        <is>
          <t>Disable; await vendor patch; assess workarounds</t>
        </is>
      </c>
      <c r="C68" s="62" t="inlineStr">
        <is>
          <t>&lt; 4 hours</t>
        </is>
      </c>
      <c r="D68" s="62" t="inlineStr">
        <is>
          <t>Security lead</t>
        </is>
      </c>
      <c r="E68" s="62" t="n"/>
    </row>
    <row r="70" ht="18" customHeight="1" s="55">
      <c r="A70" s="80" t="inlineStr">
        <is>
          <t>TIER 3 - ACCELERATED REVIEW (24-48 hours)</t>
        </is>
      </c>
    </row>
    <row r="71" ht="18" customHeight="1" s="55">
      <c r="A71" s="61" t="inlineStr">
        <is>
          <t>Trigger</t>
        </is>
      </c>
      <c r="B71" s="61" t="inlineStr">
        <is>
          <t>Action</t>
        </is>
      </c>
      <c r="C71" s="61" t="inlineStr">
        <is>
          <t>Timeline</t>
        </is>
      </c>
      <c r="D71" s="61" t="inlineStr">
        <is>
          <t>Authority</t>
        </is>
      </c>
      <c r="E71" s="61" t="n"/>
    </row>
    <row r="72" ht="31.5" customHeight="1" s="55">
      <c r="A72" s="62" t="inlineStr">
        <is>
          <t>Tool used beyond approved use cases</t>
        </is>
      </c>
      <c r="B72" s="62" t="inlineStr">
        <is>
          <t>Restrict to original scope; escalate for re-classification</t>
        </is>
      </c>
      <c r="C72" s="62" t="inlineStr">
        <is>
          <t>&lt; 24 hours</t>
        </is>
      </c>
      <c r="D72" s="62" t="inlineStr">
        <is>
          <t>Tool owner + Security</t>
        </is>
      </c>
      <c r="E72" s="62" t="n"/>
    </row>
    <row r="73" ht="31.5" customHeight="1" s="55">
      <c r="A73" s="62" t="inlineStr">
        <is>
          <t>Vendor acquisition announced</t>
        </is>
      </c>
      <c r="B73" s="62" t="inlineStr">
        <is>
          <t>Assess new vendor; DPA review; monitor for changes</t>
        </is>
      </c>
      <c r="C73" s="62" t="inlineStr">
        <is>
          <t>&lt; 48 hours</t>
        </is>
      </c>
      <c r="D73" s="62" t="inlineStr">
        <is>
          <t>Governance committee</t>
        </is>
      </c>
      <c r="E73" s="62" t="n"/>
    </row>
    <row r="74" ht="31.5" customHeight="1" s="55">
      <c r="A74" s="62" t="inlineStr">
        <is>
          <t>Regulatory requirement change</t>
        </is>
      </c>
      <c r="B74" s="62" t="inlineStr">
        <is>
          <t>Assess compliance gap; restrict if non-compliant</t>
        </is>
      </c>
      <c r="C74" s="62" t="inlineStr">
        <is>
          <t>&lt; 48 hours</t>
        </is>
      </c>
      <c r="D74" s="62" t="inlineStr">
        <is>
          <t>Governance committee</t>
        </is>
      </c>
      <c r="E74" s="62" t="n"/>
    </row>
    <row r="75" ht="31.5" customHeight="1" s="55">
      <c r="A75" s="62" t="inlineStr">
        <is>
          <t>Failed periodic review (non-critical)</t>
        </is>
      </c>
      <c r="B75" s="62" t="inlineStr">
        <is>
          <t>Restrict new users; remediation plan required</t>
        </is>
      </c>
      <c r="C75" s="62" t="inlineStr">
        <is>
          <t>&lt; 24 hours</t>
        </is>
      </c>
      <c r="D75" s="62" t="inlineStr">
        <is>
          <t>Tool owner + Security</t>
        </is>
      </c>
      <c r="E75" s="62" t="n"/>
    </row>
    <row r="76" ht="31.5" customHeight="1" s="55">
      <c r="A76" s="62" t="inlineStr">
        <is>
          <t>Model version change with material behavior drift</t>
        </is>
      </c>
      <c r="B76" s="62" t="inlineStr">
        <is>
          <t>Halt rollout; run eval suite; decide deploy or roll back</t>
        </is>
      </c>
      <c r="C76" s="62" t="inlineStr">
        <is>
          <t>&lt; 48 hours</t>
        </is>
      </c>
      <c r="D76" s="62" t="inlineStr">
        <is>
          <t>Tool owner + Security</t>
        </is>
      </c>
      <c r="E76" s="62" t="n"/>
    </row>
    <row r="78" ht="18" customHeight="1" s="55">
      <c r="A78" s="59" t="inlineStr">
        <is>
          <t>6. Post-revocation process</t>
        </is>
      </c>
    </row>
    <row r="79" ht="18" customHeight="1" s="55">
      <c r="A79" s="61" t="inlineStr">
        <is>
          <t>Step</t>
        </is>
      </c>
      <c r="B79" s="61" t="inlineStr">
        <is>
          <t>Requirement</t>
        </is>
      </c>
      <c r="C79" s="61" t="inlineStr">
        <is>
          <t>Timeline</t>
        </is>
      </c>
      <c r="D79" s="61" t="inlineStr">
        <is>
          <t>Owner</t>
        </is>
      </c>
      <c r="E79" s="61" t="n"/>
    </row>
    <row r="80" ht="18" customHeight="1" s="55">
      <c r="A80" s="62" t="n">
        <v>1</v>
      </c>
      <c r="B80" s="62" t="inlineStr">
        <is>
          <t>Root cause analysis documented</t>
        </is>
      </c>
      <c r="C80" s="62" t="inlineStr">
        <is>
          <t>&lt; 48 hours</t>
        </is>
      </c>
      <c r="D80" s="62" t="inlineStr">
        <is>
          <t>Security team</t>
        </is>
      </c>
      <c r="E80" s="62" t="n"/>
    </row>
    <row r="81" ht="18" customHeight="1" s="55">
      <c r="A81" s="62" t="n">
        <v>2</v>
      </c>
      <c r="B81" s="62" t="inlineStr">
        <is>
          <t>Stakeholder communication sent</t>
        </is>
      </c>
      <c r="C81" s="62" t="inlineStr">
        <is>
          <t>&lt; 24 hours</t>
        </is>
      </c>
      <c r="D81" s="62" t="inlineStr">
        <is>
          <t>Tool owner</t>
        </is>
      </c>
      <c r="E81" s="62" t="n"/>
    </row>
    <row r="82" ht="18" customHeight="1" s="55">
      <c r="A82" s="62" t="n">
        <v>3</v>
      </c>
      <c r="B82" s="62" t="inlineStr">
        <is>
          <t>Remediation plan developed (if restoring)</t>
        </is>
      </c>
      <c r="C82" s="62" t="inlineStr">
        <is>
          <t>&lt; 72 hours</t>
        </is>
      </c>
      <c r="D82" s="62" t="inlineStr">
        <is>
          <t>Security + Tool owner</t>
        </is>
      </c>
      <c r="E82" s="62" t="n"/>
    </row>
    <row r="83" ht="18" customHeight="1" s="55">
      <c r="A83" s="62" t="n">
        <v>4</v>
      </c>
      <c r="B83" s="62" t="inlineStr">
        <is>
          <t>Full re-approval through standard workflow</t>
        </is>
      </c>
      <c r="C83" s="62" t="inlineStr">
        <is>
          <t>Before restoration</t>
        </is>
      </c>
      <c r="D83" s="62" t="inlineStr">
        <is>
          <t>Per risk level</t>
        </is>
      </c>
      <c r="E83" s="62" t="n"/>
    </row>
    <row r="84" ht="18" customHeight="1" s="55">
      <c r="A84" s="62" t="n">
        <v>5</v>
      </c>
      <c r="B84" s="62" t="inlineStr">
        <is>
          <t>Additional guardrails per RCA findings</t>
        </is>
      </c>
      <c r="C84" s="62" t="inlineStr">
        <is>
          <t>Before restoration</t>
        </is>
      </c>
      <c r="D84" s="62" t="inlineStr">
        <is>
          <t>Security team</t>
        </is>
      </c>
      <c r="E84" s="62" t="n"/>
    </row>
    <row r="85" ht="18" customHeight="1" s="55">
      <c r="A85" s="62" t="n">
        <v>6</v>
      </c>
      <c r="B85" s="62" t="inlineStr">
        <is>
          <t>Registry updated with incident notes</t>
        </is>
      </c>
      <c r="C85" s="62" t="inlineStr">
        <is>
          <t>Upon resolution</t>
        </is>
      </c>
      <c r="D85" s="62" t="inlineStr">
        <is>
          <t>Security team</t>
        </is>
      </c>
      <c r="E85" s="62" t="n"/>
    </row>
    <row r="87" ht="18" customHeight="1" s="55">
      <c r="A87" s="59" t="inlineStr">
        <is>
          <t>7. Re-classification triggers</t>
        </is>
      </c>
    </row>
    <row r="88" ht="18" customHeight="1" s="55">
      <c r="A88" s="60" t="inlineStr">
        <is>
          <t>Outside scheduled reviews, these events require immediate re-assessment.</t>
        </is>
      </c>
    </row>
    <row r="90" ht="18" customHeight="1" s="55">
      <c r="A90" s="61" t="inlineStr">
        <is>
          <t>Trigger</t>
        </is>
      </c>
      <c r="B90" s="61" t="inlineStr">
        <is>
          <t>Action</t>
        </is>
      </c>
      <c r="C90" s="61" t="inlineStr">
        <is>
          <t>Timeline</t>
        </is>
      </c>
      <c r="D90" s="61" t="n"/>
      <c r="E90" s="61" t="n"/>
    </row>
    <row r="91" ht="18" customHeight="1" s="55">
      <c r="A91" s="62" t="inlineStr">
        <is>
          <t>Vendor security incident</t>
        </is>
      </c>
      <c r="B91" s="62" t="inlineStr">
        <is>
          <t>Assess exposure; review remediation; consider suspension</t>
        </is>
      </c>
      <c r="C91" s="66" t="n"/>
      <c r="D91" s="62" t="n"/>
      <c r="E91" s="62" t="n"/>
    </row>
    <row r="92" ht="18" customHeight="1" s="55">
      <c r="A92" s="62" t="inlineStr">
        <is>
          <t>Scope expansion</t>
        </is>
      </c>
      <c r="B92" s="62" t="inlineStr">
        <is>
          <t>Reassess justification and risk before expanded use</t>
        </is>
      </c>
      <c r="C92" s="66" t="n"/>
      <c r="D92" s="62" t="n"/>
      <c r="E92" s="62" t="n"/>
    </row>
    <row r="93" ht="18" customHeight="1" s="55">
      <c r="A93" s="62" t="inlineStr">
        <is>
          <t>Security incident involving tool</t>
        </is>
      </c>
      <c r="B93" s="62" t="inlineStr">
        <is>
          <t>Full review; verify guardrails; may require re-approval</t>
        </is>
      </c>
      <c r="C93" s="66" t="n"/>
      <c r="D93" s="62" t="n"/>
      <c r="E93" s="62" t="n"/>
    </row>
    <row r="94" ht="18" customHeight="1" s="55">
      <c r="A94" s="62" t="inlineStr">
        <is>
          <t>Regulatory change</t>
        </is>
      </c>
      <c r="B94" s="62" t="inlineStr">
        <is>
          <t>Assess compliance impact</t>
        </is>
      </c>
      <c r="C94" s="66" t="n"/>
      <c r="D94" s="62" t="n"/>
      <c r="E94" s="62" t="n"/>
    </row>
    <row r="95" ht="18" customHeight="1" s="55">
      <c r="A95" s="62" t="inlineStr">
        <is>
          <t>Model version change (major)</t>
        </is>
      </c>
      <c r="B95" s="62" t="inlineStr">
        <is>
          <t>Re-run eval suite; decide deploy or halt</t>
        </is>
      </c>
      <c r="C95" s="66" t="n"/>
      <c r="D95" s="62" t="n"/>
      <c r="E95" s="62" t="n"/>
    </row>
    <row r="96" ht="31.5" customHeight="1" s="55">
      <c r="A96" s="62" t="inlineStr">
        <is>
          <t>Vendor acquisition / ownership change</t>
        </is>
      </c>
      <c r="B96" s="62" t="inlineStr">
        <is>
          <t>New parent review; DPA validation</t>
        </is>
      </c>
      <c r="C96" s="66" t="n"/>
      <c r="D96" s="62" t="n"/>
      <c r="E96" s="62" t="n"/>
    </row>
    <row r="97" ht="18" customHeight="1" s="55">
      <c r="A97" s="62" t="inlineStr">
        <is>
          <t>User complaint / near-miss</t>
        </is>
      </c>
      <c r="B97" s="62" t="inlineStr">
        <is>
          <t>Investigate root cause; determine if guardrails are adequate</t>
        </is>
      </c>
      <c r="C97" s="66" t="n"/>
      <c r="D97" s="62" t="n"/>
      <c r="E97" s="62" t="n"/>
    </row>
    <row r="99" ht="31.5" customHeight="1" s="55">
      <c r="A99" s="60" t="inlineStr">
        <is>
          <t>If re-classification results in a higher risk level: the tool goes through approval for the new level, additional guardrails must be in place before continued use, and Severe tools are suspended until an exception is granted.</t>
        </is>
      </c>
    </row>
    <row r="101" ht="18" customHeight="1" s="55">
      <c r="A101" s="59" t="inlineStr">
        <is>
          <t>8. Model version upgrade review (new in v2.0)</t>
        </is>
      </c>
    </row>
    <row r="102" ht="31.5" customHeight="1" s="55">
      <c r="A102" s="60" t="inlineStr">
        <is>
          <t>A new model version is effectively a re-evaluation. Vendor SaaS models update without notice. Self-hosted and Bedrock/Vertex deployments should pin versions.</t>
        </is>
      </c>
    </row>
    <row r="104" ht="18" customHeight="1" s="55">
      <c r="A104" s="61" t="inlineStr">
        <is>
          <t>Step</t>
        </is>
      </c>
      <c r="B104" s="61" t="inlineStr">
        <is>
          <t>Action</t>
        </is>
      </c>
      <c r="C104" s="61" t="inlineStr">
        <is>
          <t>Owner</t>
        </is>
      </c>
      <c r="D104" s="61" t="inlineStr">
        <is>
          <t>Gate</t>
        </is>
      </c>
      <c r="E104" s="61" t="n"/>
    </row>
    <row r="105" ht="31.5" customHeight="1" s="55">
      <c r="A105" s="62" t="n">
        <v>1</v>
      </c>
      <c r="B105" s="62" t="inlineStr">
        <is>
          <t>Monitor vendor release notes; subscribe to model-version announcements</t>
        </is>
      </c>
      <c r="C105" s="62" t="inlineStr">
        <is>
          <t>Security + Platform</t>
        </is>
      </c>
      <c r="D105" s="62" t="inlineStr">
        <is>
          <t>Awareness before GA</t>
        </is>
      </c>
      <c r="E105" s="62" t="n"/>
    </row>
    <row r="106" ht="31.5" customHeight="1" s="55">
      <c r="A106" s="62" t="n">
        <v>2</v>
      </c>
      <c r="B106" s="62" t="inlineStr">
        <is>
          <t>Run regression eval suite on new version (accuracy, safety, cost)</t>
        </is>
      </c>
      <c r="C106" s="62" t="inlineStr">
        <is>
          <t>Platform + MLOps</t>
        </is>
      </c>
      <c r="D106" s="62" t="inlineStr">
        <is>
          <t>Pass required</t>
        </is>
      </c>
      <c r="E106" s="62" t="n"/>
    </row>
    <row r="107" ht="18" customHeight="1" s="55">
      <c r="A107" s="62" t="n">
        <v>3</v>
      </c>
      <c r="B107" s="62" t="inlineStr">
        <is>
          <t>Run red-team suite on new version</t>
        </is>
      </c>
      <c r="C107" s="62" t="inlineStr">
        <is>
          <t>Security / Offensive</t>
        </is>
      </c>
      <c r="D107" s="62" t="inlineStr">
        <is>
          <t>Pass required</t>
        </is>
      </c>
      <c r="E107" s="62" t="n"/>
    </row>
    <row r="108" ht="18" customHeight="1" s="55">
      <c r="A108" s="62" t="n">
        <v>4</v>
      </c>
      <c r="B108" s="62" t="inlineStr">
        <is>
          <t>Staged rollout (canary → percentage → full)</t>
        </is>
      </c>
      <c r="C108" s="62" t="inlineStr">
        <is>
          <t>Platform</t>
        </is>
      </c>
      <c r="D108" s="62" t="inlineStr">
        <is>
          <t>Monitored each stage</t>
        </is>
      </c>
      <c r="E108" s="62" t="n"/>
    </row>
    <row r="109" ht="31.5" customHeight="1" s="55">
      <c r="A109" s="62" t="n">
        <v>5</v>
      </c>
      <c r="B109" s="62" t="inlineStr">
        <is>
          <t>Rollback procedure tested within last quarter</t>
        </is>
      </c>
      <c r="C109" s="62" t="inlineStr">
        <is>
          <t>Platform</t>
        </is>
      </c>
      <c r="D109" s="62" t="inlineStr">
        <is>
          <t>Evidence in registry</t>
        </is>
      </c>
      <c r="E109" s="62" t="n"/>
    </row>
    <row r="110" ht="18" customHeight="1" s="55">
      <c r="A110" s="62" t="n">
        <v>6</v>
      </c>
      <c r="B110" s="62" t="inlineStr">
        <is>
          <t>Registry updated with new pinned version</t>
        </is>
      </c>
      <c r="C110" s="62" t="inlineStr">
        <is>
          <t>Security Lead</t>
        </is>
      </c>
      <c r="D110" s="62" t="inlineStr">
        <is>
          <t>Within 1 BD of rollout</t>
        </is>
      </c>
      <c r="E110" s="62" t="n"/>
    </row>
    <row r="112" ht="18" customHeight="1" s="55">
      <c r="A112" s="59" t="inlineStr">
        <is>
          <t>9. AI-specific incident response (new in v2.0)</t>
        </is>
      </c>
    </row>
    <row r="113" ht="31.5" customHeight="1" s="55">
      <c r="A113" s="60" t="inlineStr">
        <is>
          <t>AI incidents differ from traditional IR: prompt logs need triage, model rollback is an option, affected user notification may be required, cross-tenant exposure risk exists.</t>
        </is>
      </c>
    </row>
    <row r="115" ht="18" customHeight="1" s="55">
      <c r="A115" s="61" t="inlineStr">
        <is>
          <t>Phase</t>
        </is>
      </c>
      <c r="B115" s="61" t="inlineStr">
        <is>
          <t>AI-specific actions</t>
        </is>
      </c>
      <c r="C115" s="61" t="n"/>
      <c r="D115" s="61" t="n"/>
      <c r="E115" s="61" t="n"/>
    </row>
    <row r="116" ht="18" customHeight="1" s="55">
      <c r="A116" s="62" t="inlineStr">
        <is>
          <t>Detect</t>
        </is>
      </c>
      <c r="B116" s="62" t="inlineStr">
        <is>
          <t>Alert on prompt-injection blocks, cost spikes, off-policy outputs, agent out-of-bounds actions; inspect ATLAS TTPs</t>
        </is>
      </c>
      <c r="C116" s="65" t="n"/>
      <c r="D116" s="65" t="n"/>
      <c r="E116" s="66" t="n"/>
    </row>
    <row r="117" ht="18" customHeight="1" s="55">
      <c r="A117" s="62" t="inlineStr">
        <is>
          <t>Contain</t>
        </is>
      </c>
      <c r="B117" s="62" t="inlineStr">
        <is>
          <t>Kill-switch tool, suspend agent identity, pin to known-good model version, freeze shared memory</t>
        </is>
      </c>
      <c r="C117" s="65" t="n"/>
      <c r="D117" s="65" t="n"/>
      <c r="E117" s="66" t="n"/>
    </row>
    <row r="118" ht="18" customHeight="1" s="55">
      <c r="A118" s="62" t="inlineStr">
        <is>
          <t>Eradicate</t>
        </is>
      </c>
      <c r="B118" s="62" t="inlineStr">
        <is>
          <t>Remove tainted vectors, rotate credentials, recall unsafe outputs sent externally, update guardrails</t>
        </is>
      </c>
      <c r="C118" s="65" t="n"/>
      <c r="D118" s="65" t="n"/>
      <c r="E118" s="66" t="n"/>
    </row>
    <row r="119" ht="18" customHeight="1" s="55">
      <c r="A119" s="62" t="inlineStr">
        <is>
          <t>Recover</t>
        </is>
      </c>
      <c r="B119" s="62" t="inlineStr">
        <is>
          <t>Restore from pinned model version; re-enable with enhanced controls; notify affected users if needed</t>
        </is>
      </c>
      <c r="C119" s="65" t="n"/>
      <c r="D119" s="65" t="n"/>
      <c r="E119" s="66" t="n"/>
    </row>
    <row r="120" ht="18" customHeight="1" s="55">
      <c r="A120" s="62" t="inlineStr">
        <is>
          <t>Lessons Learned</t>
        </is>
      </c>
      <c r="B120" s="62" t="inlineStr">
        <is>
          <t>Update guardrails; add to red-team corpus; brief governance committee; update training materials</t>
        </is>
      </c>
      <c r="C120" s="65" t="n"/>
      <c r="D120" s="65" t="n"/>
      <c r="E120" s="66" t="n"/>
    </row>
    <row r="122" ht="18" customHeight="1" s="55">
      <c r="A122" s="59" t="inlineStr">
        <is>
          <t>10. Decommissioning process</t>
        </is>
      </c>
    </row>
    <row r="123" ht="18" customHeight="1" s="55">
      <c r="A123" s="60" t="inlineStr">
        <is>
          <t>When a tool is no longer needed. Secure offboarding + audit compliance.</t>
        </is>
      </c>
    </row>
    <row r="125" ht="18" customHeight="1" s="55">
      <c r="A125" s="61" t="inlineStr">
        <is>
          <t>Step</t>
        </is>
      </c>
      <c r="B125" s="61" t="inlineStr">
        <is>
          <t>Action</t>
        </is>
      </c>
      <c r="C125" s="61" t="inlineStr">
        <is>
          <t>Owner</t>
        </is>
      </c>
      <c r="D125" s="61" t="inlineStr">
        <is>
          <t>Documentation</t>
        </is>
      </c>
      <c r="E125" s="61" t="n"/>
    </row>
    <row r="126" ht="18" customHeight="1" s="55">
      <c r="A126" s="62" t="n">
        <v>1</v>
      </c>
      <c r="B126" s="62" t="inlineStr">
        <is>
          <t>Business owner submits decommission request</t>
        </is>
      </c>
      <c r="C126" s="62" t="inlineStr">
        <is>
          <t>Business Owner</t>
        </is>
      </c>
      <c r="D126" s="62" t="inlineStr">
        <is>
          <t>Decommission request form</t>
        </is>
      </c>
      <c r="E126" s="62" t="n"/>
    </row>
    <row r="127" ht="31.5" customHeight="1" s="55">
      <c r="A127" s="62" t="n">
        <v>2</v>
      </c>
      <c r="B127" s="62" t="inlineStr">
        <is>
          <t>Data inventory: identify all data stored in/by the tool</t>
        </is>
      </c>
      <c r="C127" s="62" t="inlineStr">
        <is>
          <t>Data Governance</t>
        </is>
      </c>
      <c r="D127" s="62" t="inlineStr">
        <is>
          <t>Data inventory list</t>
        </is>
      </c>
      <c r="E127" s="62" t="n"/>
    </row>
    <row r="128" ht="18" customHeight="1" s="55">
      <c r="A128" s="62" t="n">
        <v>3</v>
      </c>
      <c r="B128" s="62" t="inlineStr">
        <is>
          <t>Data export / archive per retention policy</t>
        </is>
      </c>
      <c r="C128" s="62" t="inlineStr">
        <is>
          <t>IT Operations</t>
        </is>
      </c>
      <c r="D128" s="62" t="inlineStr">
        <is>
          <t>Export confirmation</t>
        </is>
      </c>
      <c r="E128" s="62" t="n"/>
    </row>
    <row r="129" ht="31.5" customHeight="1" s="55">
      <c r="A129" s="62" t="n">
        <v>4</v>
      </c>
      <c r="B129" s="62" t="inlineStr">
        <is>
          <t>Request vendor data deletion; verify in writing</t>
        </is>
      </c>
      <c r="C129" s="62" t="inlineStr">
        <is>
          <t>IT Operations</t>
        </is>
      </c>
      <c r="D129" s="62" t="inlineStr">
        <is>
          <t>Deletion certificate</t>
        </is>
      </c>
      <c r="E129" s="62" t="n"/>
    </row>
    <row r="130" ht="18" customHeight="1" s="55">
      <c r="A130" s="62" t="n">
        <v>5</v>
      </c>
      <c r="B130" s="62" t="inlineStr">
        <is>
          <t>Revoke all access (human and non-human)</t>
        </is>
      </c>
      <c r="C130" s="62" t="inlineStr">
        <is>
          <t>IT Security</t>
        </is>
      </c>
      <c r="D130" s="62" t="inlineStr">
        <is>
          <t>Access removal log</t>
        </is>
      </c>
      <c r="E130" s="62" t="n"/>
    </row>
    <row r="131" ht="18" customHeight="1" s="55">
      <c r="A131" s="62" t="n">
        <v>6</v>
      </c>
      <c r="B131" s="62" t="inlineStr">
        <is>
          <t>Rotate credentials that touched the tool</t>
        </is>
      </c>
      <c r="C131" s="62" t="inlineStr">
        <is>
          <t>IT Security</t>
        </is>
      </c>
      <c r="D131" s="62" t="inlineStr">
        <is>
          <t>Rotation confirmation</t>
        </is>
      </c>
      <c r="E131" s="62" t="n"/>
    </row>
    <row r="132" ht="31.5" customHeight="1" s="55">
      <c r="A132" s="62" t="n">
        <v>7</v>
      </c>
      <c r="B132" s="62" t="inlineStr">
        <is>
          <t>Remove integrations; webhooks; API connections</t>
        </is>
      </c>
      <c r="C132" s="62" t="inlineStr">
        <is>
          <t>IT Operations</t>
        </is>
      </c>
      <c r="D132" s="62" t="inlineStr">
        <is>
          <t>Integration checklist</t>
        </is>
      </c>
      <c r="E132" s="62" t="n"/>
    </row>
    <row r="133" ht="18" customHeight="1" s="55">
      <c r="A133" s="62" t="n">
        <v>8</v>
      </c>
      <c r="B133" s="62" t="inlineStr">
        <is>
          <t>License / subscription termination</t>
        </is>
      </c>
      <c r="C133" s="62" t="inlineStr">
        <is>
          <t>Procurement</t>
        </is>
      </c>
      <c r="D133" s="62" t="inlineStr">
        <is>
          <t>Cancellation confirmation</t>
        </is>
      </c>
      <c r="E133" s="62" t="n"/>
    </row>
    <row r="134" ht="31.5" customHeight="1" s="55">
      <c r="A134" s="62" t="n">
        <v>9</v>
      </c>
      <c r="B134" s="62" t="inlineStr">
        <is>
          <t>Registry: status = Decommissioned; decom date + reason</t>
        </is>
      </c>
      <c r="C134" s="62" t="inlineStr">
        <is>
          <t>Security Lead</t>
        </is>
      </c>
      <c r="D134" s="62" t="inlineStr">
        <is>
          <t>Registry updated</t>
        </is>
      </c>
      <c r="E134" s="62" t="n"/>
    </row>
    <row r="135" ht="31.5" customHeight="1" s="55">
      <c r="A135" s="62" t="n">
        <v>10</v>
      </c>
      <c r="B135" s="62" t="inlineStr">
        <is>
          <t>Retain governance records per audit requirements</t>
        </is>
      </c>
      <c r="C135" s="62" t="inlineStr">
        <is>
          <t>Security Lead</t>
        </is>
      </c>
      <c r="D135" s="62" t="inlineStr">
        <is>
          <t>Archive location noted</t>
        </is>
      </c>
      <c r="E135" s="62" t="n"/>
    </row>
    <row r="137" ht="18" customHeight="1" s="55">
      <c r="A137" s="60" t="inlineStr">
        <is>
          <t>• Do not delete Tool Registry entries - set status to Decommissioned for audit trail.</t>
        </is>
      </c>
    </row>
    <row r="138" ht="18" customHeight="1" s="55">
      <c r="A138" s="60" t="inlineStr">
        <is>
          <t>• Retain governance documentation for minimum 3 years (or per your retention policy).</t>
        </is>
      </c>
    </row>
    <row r="139" ht="18" customHeight="1" s="55">
      <c r="A139" s="60" t="inlineStr">
        <is>
          <t>• Vendor data deletion verified in writing, especially for High / Severe risk tools.</t>
        </is>
      </c>
    </row>
    <row r="140" ht="18" customHeight="1" s="55">
      <c r="A140" s="60" t="inlineStr">
        <is>
          <t>• If tool contained PII, document deletion as part of DSAR / privacy compliance.</t>
        </is>
      </c>
    </row>
  </sheetData>
  <mergeCells count="55">
    <mergeCell ref="B91:C91"/>
    <mergeCell ref="B11:D11"/>
    <mergeCell ref="B97:C97"/>
    <mergeCell ref="B118:E118"/>
    <mergeCell ref="B14:D14"/>
    <mergeCell ref="C44:E44"/>
    <mergeCell ref="A51:E51"/>
    <mergeCell ref="A138:E138"/>
    <mergeCell ref="B13:D13"/>
    <mergeCell ref="A1:E1"/>
    <mergeCell ref="B93:C93"/>
    <mergeCell ref="A123:E123"/>
    <mergeCell ref="B96:C96"/>
    <mergeCell ref="A6:E6"/>
    <mergeCell ref="A88:E88"/>
    <mergeCell ref="A70:E70"/>
    <mergeCell ref="C46:E46"/>
    <mergeCell ref="B10:D10"/>
    <mergeCell ref="A87:E87"/>
    <mergeCell ref="A78:E78"/>
    <mergeCell ref="A54:E54"/>
    <mergeCell ref="A41:E41"/>
    <mergeCell ref="B9:D9"/>
    <mergeCell ref="C48:E48"/>
    <mergeCell ref="A99:E99"/>
    <mergeCell ref="A137:E137"/>
    <mergeCell ref="B15:D15"/>
    <mergeCell ref="A18:E18"/>
    <mergeCell ref="A3:E3"/>
    <mergeCell ref="A101:E101"/>
    <mergeCell ref="A113:E113"/>
    <mergeCell ref="A139:E139"/>
    <mergeCell ref="C49:E49"/>
    <mergeCell ref="A5:E5"/>
    <mergeCell ref="A32:E32"/>
    <mergeCell ref="B117:E117"/>
    <mergeCell ref="B120:E120"/>
    <mergeCell ref="B16:D16"/>
    <mergeCell ref="A122:E122"/>
    <mergeCell ref="B92:C92"/>
    <mergeCell ref="A140:E140"/>
    <mergeCell ref="A62:E62"/>
    <mergeCell ref="A52:E52"/>
    <mergeCell ref="C45:E45"/>
    <mergeCell ref="B95:C95"/>
    <mergeCell ref="A112:E112"/>
    <mergeCell ref="B119:E119"/>
    <mergeCell ref="A19:E19"/>
    <mergeCell ref="B116:E116"/>
    <mergeCell ref="A102:E102"/>
    <mergeCell ref="B94:C94"/>
    <mergeCell ref="A31:E31"/>
    <mergeCell ref="B12:D12"/>
    <mergeCell ref="A40:E40"/>
    <mergeCell ref="C47:E4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baseColWidth="8" defaultColWidth="8.83203125" defaultRowHeight="15" customHeight="0" zeroHeight="0" outlineLevelRow="0"/>
  <cols>
    <col width="48" customWidth="1" style="54" min="1" max="1"/>
    <col width="10" customWidth="1" style="54" min="2" max="3"/>
    <col width="50" customWidth="1" style="54" min="4" max="4"/>
    <col width="32" customWidth="1" style="54" min="5" max="5"/>
    <col width="26" customWidth="1" style="54" min="6" max="6"/>
    <col width="10" customWidth="1" style="54" min="7" max="7"/>
  </cols>
  <sheetData>
    <row r="1" ht="25.5" customHeight="1" s="55">
      <c r="A1" s="56" t="inlineStr">
        <is>
          <t>AI Tool Risk Assessment</t>
        </is>
      </c>
    </row>
    <row r="3" ht="18" customHeight="1" s="55">
      <c r="A3" s="60" t="inlineStr">
        <is>
          <t>Classify tools by risk and identify required guardrails. Use the graduated risk factors below; the highest-rated factor determines overall risk.</t>
        </is>
      </c>
    </row>
    <row r="5" ht="18" customHeight="1" s="55">
      <c r="A5" s="59" t="inlineStr">
        <is>
          <t>Risk Classification Criteria (7 factors, graduated)</t>
        </is>
      </c>
    </row>
    <row r="6" ht="18" customHeight="1" s="55">
      <c r="A6" s="61" t="inlineStr">
        <is>
          <t>Risk Factor</t>
        </is>
      </c>
      <c r="B6" s="61" t="inlineStr">
        <is>
          <t>Low</t>
        </is>
      </c>
      <c r="C6" s="61" t="inlineStr">
        <is>
          <t>Medium</t>
        </is>
      </c>
      <c r="D6" s="61" t="inlineStr">
        <is>
          <t>High</t>
        </is>
      </c>
      <c r="E6" s="61" t="inlineStr">
        <is>
          <t>Severe</t>
        </is>
      </c>
      <c r="F6" s="61" t="n"/>
      <c r="G6" s="61" t="n"/>
    </row>
    <row r="7" ht="45.75" customHeight="1" s="55">
      <c r="A7" s="62" t="inlineStr">
        <is>
          <t>Data Sensitivity</t>
        </is>
      </c>
      <c r="B7" s="67" t="inlineStr">
        <is>
          <t>Public info only</t>
        </is>
      </c>
      <c r="C7" s="68" t="inlineStr">
        <is>
          <t>Internal company info (non-sensitive)</t>
        </is>
      </c>
      <c r="D7" s="69" t="inlineStr">
        <is>
          <t>Confidential (trade secret, IP, internal strategy)</t>
        </is>
      </c>
      <c r="E7" s="70" t="inlineStr">
        <is>
          <t>PII / PHI / Regulated (payment, export-controlled, minors)</t>
        </is>
      </c>
      <c r="F7" s="62" t="n"/>
      <c r="G7" s="62" t="n"/>
    </row>
    <row r="8" ht="45.75" customHeight="1" s="55">
      <c r="A8" s="62" t="inlineStr">
        <is>
          <t>Access Permissions</t>
        </is>
      </c>
      <c r="B8" s="67" t="inlineStr">
        <is>
          <t>Read-only, scoped</t>
        </is>
      </c>
      <c r="C8" s="68" t="inlineStr">
        <is>
          <t>Limited write to scoped resources</t>
        </is>
      </c>
      <c r="D8" s="69" t="inlineStr">
        <is>
          <t>Full read/write on production resources</t>
        </is>
      </c>
      <c r="E8" s="70" t="inlineStr">
        <is>
          <t>Admin / root / infra control</t>
        </is>
      </c>
      <c r="F8" s="62" t="n"/>
      <c r="G8" s="62" t="n"/>
    </row>
    <row r="9" ht="45.75" customHeight="1" s="55">
      <c r="A9" s="62" t="inlineStr">
        <is>
          <t>Integration Depth</t>
        </is>
      </c>
      <c r="B9" s="67" t="inlineStr">
        <is>
          <t>Isolated (no integrations)</t>
        </is>
      </c>
      <c r="C9" s="68" t="inlineStr">
        <is>
          <t>Limited API, rate-capped</t>
        </is>
      </c>
      <c r="D9" s="69" t="inlineStr">
        <is>
          <t>Direct system access (DB, filesystem)</t>
        </is>
      </c>
      <c r="E9" s="70" t="inlineStr">
        <is>
          <t>Privileged control plane (IAM, secrets, infra)</t>
        </is>
      </c>
      <c r="F9" s="62" t="n"/>
      <c r="G9" s="62" t="n"/>
    </row>
    <row r="10" ht="45.75" customHeight="1" s="55">
      <c r="A10" s="62" t="inlineStr">
        <is>
          <t>Action Reversibility</t>
        </is>
      </c>
      <c r="B10" s="67" t="inlineStr">
        <is>
          <t>Read-only; no state change</t>
        </is>
      </c>
      <c r="C10" s="68" t="inlineStr">
        <is>
          <t>Reversible writes (edit doc, retry task)</t>
        </is>
      </c>
      <c r="D10" s="69" t="inlineStr">
        <is>
          <t>Hard to reverse (send email, trigger payment)</t>
        </is>
      </c>
      <c r="E10" s="70" t="inlineStr">
        <is>
          <t>Irreversible (delete records, post public, transfer funds)</t>
        </is>
      </c>
      <c r="F10" s="62" t="n"/>
      <c r="G10" s="62" t="n"/>
    </row>
    <row r="11" ht="45.75" customHeight="1" s="55">
      <c r="A11" s="62" t="inlineStr">
        <is>
          <t>Data Persistence</t>
        </is>
      </c>
      <c r="B11" s="67" t="inlineStr">
        <is>
          <t>None (ephemeral)</t>
        </is>
      </c>
      <c r="C11" s="68" t="inlineStr">
        <is>
          <t>Session only (cleared on close)</t>
        </is>
      </c>
      <c r="D11" s="69" t="inlineStr">
        <is>
          <t>Cached/stored (TTL-bounded, user-owned)</t>
        </is>
      </c>
      <c r="E11" s="70" t="inlineStr">
        <is>
          <t>Vendor retains, may train; shared memory across users</t>
        </is>
      </c>
      <c r="F11" s="62" t="n"/>
      <c r="G11" s="62" t="n"/>
    </row>
    <row r="12" ht="45.75" customHeight="1" s="55">
      <c r="A12" s="62" t="inlineStr">
        <is>
          <t>External Access</t>
        </is>
      </c>
      <c r="B12" s="67" t="inlineStr">
        <is>
          <t>None (internal only)</t>
        </is>
      </c>
      <c r="C12" s="68" t="inlineStr">
        <is>
          <t>Allowlisted endpoints, logged</t>
        </is>
      </c>
      <c r="D12" s="69" t="inlineStr">
        <is>
          <t>Broad internet, logged egress</t>
        </is>
      </c>
      <c r="E12" s="70" t="inlineStr">
        <is>
          <t>Unrestricted / unlogged egress</t>
        </is>
      </c>
      <c r="F12" s="62" t="n"/>
      <c r="G12" s="62" t="n"/>
    </row>
    <row r="13" ht="60" customHeight="1" s="55">
      <c r="A13" s="62" t="inlineStr">
        <is>
          <t>Agent Autonomy</t>
        </is>
      </c>
      <c r="B13" s="67" t="inlineStr">
        <is>
          <t>No autonomy (human prompt each action)</t>
        </is>
      </c>
      <c r="C13" s="68" t="inlineStr">
        <is>
          <t>Scoped autonomy with HITL for any write</t>
        </is>
      </c>
      <c r="D13" s="69" t="inlineStr">
        <is>
          <t>Autonomous within allowlist; HITL for Severe only</t>
        </is>
      </c>
      <c r="E13" s="70" t="inlineStr">
        <is>
          <t>Fully autonomous; no HITL; may spawn sub-agents</t>
        </is>
      </c>
      <c r="F13" s="62" t="n"/>
      <c r="G13" s="62" t="n"/>
    </row>
    <row r="15" ht="18" customHeight="1" s="55">
      <c r="A15" s="60" t="inlineStr">
        <is>
          <t>Scoring rule: the HIGHEST rating across any factor sets the overall tool risk level. Agent Autonomy (factor 7) is new in v2.0 and drives the Agentic flag in the Guardrail Checklist.</t>
        </is>
      </c>
    </row>
    <row r="17" ht="18" customHeight="1" s="55">
      <c r="A17" s="59" t="inlineStr">
        <is>
          <t>Function → Guardrail → Product Mapping</t>
        </is>
      </c>
    </row>
    <row r="18" ht="18" customHeight="1" s="55">
      <c r="A18" s="60" t="inlineStr">
        <is>
          <t>Identify every function the tool performs. Each function rolls up to a risk tier and a set of guardrails. Agentic functions are flagged; they pick up additional guardrails regardless of risk tier.</t>
        </is>
      </c>
    </row>
    <row r="20" ht="18" customHeight="1" s="55">
      <c r="A20" s="61" t="inlineStr">
        <is>
          <t>Tool Function</t>
        </is>
      </c>
      <c r="B20" s="61" t="inlineStr">
        <is>
          <t>Risk</t>
        </is>
      </c>
      <c r="C20" s="61" t="inlineStr">
        <is>
          <t>Agentic?</t>
        </is>
      </c>
      <c r="D20" s="61" t="inlineStr">
        <is>
          <t>Required Guardrails</t>
        </is>
      </c>
      <c r="E20" s="61" t="inlineStr">
        <is>
          <t>Recommended Products</t>
        </is>
      </c>
      <c r="F20" s="61" t="inlineStr">
        <is>
          <t>Product Families</t>
        </is>
      </c>
      <c r="G20" s="61" t="n"/>
    </row>
    <row r="21" ht="18" customHeight="1" s="55">
      <c r="A21" s="81" t="inlineStr">
        <is>
          <t>LOW RISK - standard approval; verify basic controls</t>
        </is>
      </c>
    </row>
    <row r="22" ht="18" customHeight="1" s="55">
      <c r="A22" s="62" t="inlineStr">
        <is>
          <t>Time, date, and timezone calculations</t>
        </is>
      </c>
      <c r="B22" s="67" t="inlineStr">
        <is>
          <t>Low</t>
        </is>
      </c>
      <c r="C22" s="62" t="inlineStr">
        <is>
          <t>No</t>
        </is>
      </c>
      <c r="D22" s="62" t="inlineStr">
        <is>
          <t>Tool Registration; basic monitoring</t>
        </is>
      </c>
      <c r="E22" s="62" t="n"/>
      <c r="F22" s="71" t="inlineStr">
        <is>
          <t>Posture</t>
        </is>
      </c>
      <c r="G22" s="62" t="n"/>
    </row>
    <row r="23" ht="18" customHeight="1" s="55">
      <c r="A23" s="62" t="inlineStr">
        <is>
          <t>Public data lookups (weather, rates, reference APIs)</t>
        </is>
      </c>
      <c r="B23" s="67" t="inlineStr">
        <is>
          <t>Low</t>
        </is>
      </c>
      <c r="C23" s="62" t="inlineStr">
        <is>
          <t>No</t>
        </is>
      </c>
      <c r="D23" s="62" t="inlineStr">
        <is>
          <t>Tool Registration; rate limiting recommended</t>
        </is>
      </c>
      <c r="E23" s="62" t="n"/>
      <c r="F23" s="71" t="inlineStr">
        <is>
          <t>Posture, Runtime (optional)</t>
        </is>
      </c>
      <c r="G23" s="62" t="n"/>
    </row>
    <row r="24" ht="18" customHeight="1" s="55">
      <c r="A24" s="62" t="inlineStr">
        <is>
          <t>Geographic and mapping information</t>
        </is>
      </c>
      <c r="B24" s="67" t="inlineStr">
        <is>
          <t>Low</t>
        </is>
      </c>
      <c r="C24" s="62" t="inlineStr">
        <is>
          <t>No</t>
        </is>
      </c>
      <c r="D24" s="62" t="inlineStr">
        <is>
          <t>Tool Registration; no PII in queries</t>
        </is>
      </c>
      <c r="E24" s="62" t="n"/>
      <c r="F24" s="71" t="inlineStr">
        <is>
          <t>Posture</t>
        </is>
      </c>
      <c r="G24" s="62" t="n"/>
    </row>
    <row r="25" ht="18" customHeight="1" s="55">
      <c r="A25" s="62" t="inlineStr">
        <is>
          <t>Basic system health checks (read-only)</t>
        </is>
      </c>
      <c r="B25" s="67" t="inlineStr">
        <is>
          <t>Low</t>
        </is>
      </c>
      <c r="C25" s="62" t="inlineStr">
        <is>
          <t>No</t>
        </is>
      </c>
      <c r="D25" s="62" t="inlineStr">
        <is>
          <t>Tool Registration; read-only access verified</t>
        </is>
      </c>
      <c r="E25" s="62" t="inlineStr">
        <is>
          <t>Datadog, Arize (optional)</t>
        </is>
      </c>
      <c r="F25" s="71" t="inlineStr">
        <is>
          <t>Posture, Observability</t>
        </is>
      </c>
      <c r="G25" s="62" t="n"/>
    </row>
    <row r="26" ht="18" customHeight="1" s="55">
      <c r="A26" s="62" t="inlineStr">
        <is>
          <t>Static file read (public / non-sensitive)</t>
        </is>
      </c>
      <c r="B26" s="67" t="inlineStr">
        <is>
          <t>Low</t>
        </is>
      </c>
      <c r="C26" s="62" t="inlineStr">
        <is>
          <t>No</t>
        </is>
      </c>
      <c r="D26" s="62" t="inlineStr">
        <is>
          <t>Tool Registration; scoped to non-sensitive paths</t>
        </is>
      </c>
      <c r="E26" s="62" t="n"/>
      <c r="F26" s="71" t="inlineStr">
        <is>
          <t>Posture</t>
        </is>
      </c>
      <c r="G26" s="62" t="n"/>
    </row>
    <row r="27" ht="18" customHeight="1" s="55">
      <c r="A27" s="82" t="inlineStr">
        <is>
          <t>MEDIUM RISK - dept lead approval; guardrails required</t>
        </is>
      </c>
    </row>
    <row r="28" ht="18" customHeight="1" s="55">
      <c r="A28" s="62" t="inlineStr">
        <is>
          <t>Online search interfaces</t>
        </is>
      </c>
      <c r="B28" s="68" t="inlineStr">
        <is>
          <t>Medium</t>
        </is>
      </c>
      <c r="C28" s="62" t="inlineStr">
        <is>
          <t>No</t>
        </is>
      </c>
      <c r="D28" s="62" t="inlineStr">
        <is>
          <t>Rate limits; DLP on queries; log search terms</t>
        </is>
      </c>
      <c r="E28" s="62" t="inlineStr">
        <is>
          <t>Harmonic, Nightfall, Netskope</t>
        </is>
      </c>
      <c r="F28" s="73" t="inlineStr">
        <is>
          <t>Shadow AI, Data Protection</t>
        </is>
      </c>
      <c r="G28" s="62" t="n"/>
    </row>
    <row r="29" ht="31.5" customHeight="1" s="55">
      <c r="A29" s="62" t="inlineStr">
        <is>
          <t>Web data extraction / scraping</t>
        </is>
      </c>
      <c r="B29" s="68" t="inlineStr">
        <is>
          <t>Medium</t>
        </is>
      </c>
      <c r="C29" s="62" t="inlineStr">
        <is>
          <t>No</t>
        </is>
      </c>
      <c r="D29" s="62" t="inlineStr">
        <is>
          <t>Allowlisted domains; content sanitization; egress logging</t>
        </is>
      </c>
      <c r="E29" s="62" t="inlineStr">
        <is>
          <t>Netskope, Zscaler, Island Browser</t>
        </is>
      </c>
      <c r="F29" s="75" t="inlineStr">
        <is>
          <t>Data Protection, Runtime</t>
        </is>
      </c>
      <c r="G29" s="62" t="n"/>
    </row>
    <row r="30" ht="31.5" customHeight="1" s="55">
      <c r="A30" s="62" t="inlineStr">
        <is>
          <t>Automated task execution (scoped)</t>
        </is>
      </c>
      <c r="B30" s="68" t="inlineStr">
        <is>
          <t>Medium</t>
        </is>
      </c>
      <c r="C30" s="78" t="inlineStr">
        <is>
          <t>Yes</t>
        </is>
      </c>
      <c r="D30" s="62" t="inlineStr">
        <is>
          <t>Monitor for injection; log intermediate outputs; timeout limits</t>
        </is>
      </c>
      <c r="E30" s="62" t="inlineStr">
        <is>
          <t>Arthur AI, Mindgard, Datadog</t>
        </is>
      </c>
      <c r="F30" s="72" t="inlineStr">
        <is>
          <t>Runtime, Observability</t>
        </is>
      </c>
      <c r="G30" s="62" t="n"/>
    </row>
    <row r="31" ht="18" customHeight="1" s="55">
      <c r="A31" s="62" t="inlineStr">
        <is>
          <t>Log processing and event analysis</t>
        </is>
      </c>
      <c r="B31" s="68" t="inlineStr">
        <is>
          <t>Medium</t>
        </is>
      </c>
      <c r="C31" s="62" t="inlineStr">
        <is>
          <t>No</t>
        </is>
      </c>
      <c r="D31" s="62" t="inlineStr">
        <is>
          <t>PII redaction before processing; scoped log sources</t>
        </is>
      </c>
      <c r="E31" s="62" t="inlineStr">
        <is>
          <t>Datadog, Arize, Splunk</t>
        </is>
      </c>
      <c r="F31" s="74" t="inlineStr">
        <is>
          <t>Observability</t>
        </is>
      </c>
      <c r="G31" s="62" t="n"/>
    </row>
    <row r="32" ht="18" customHeight="1" s="55">
      <c r="A32" s="62" t="inlineStr">
        <is>
          <t>Enterprise data queries (read-only)</t>
        </is>
      </c>
      <c r="B32" s="68" t="inlineStr">
        <is>
          <t>Medium</t>
        </is>
      </c>
      <c r="C32" s="62" t="inlineStr">
        <is>
          <t>No</t>
        </is>
      </c>
      <c r="D32" s="62" t="inlineStr">
        <is>
          <t>Least-privilege read; access logging; query review</t>
        </is>
      </c>
      <c r="E32" s="62" t="inlineStr">
        <is>
          <t>Cyera, BigID, Knostic</t>
        </is>
      </c>
      <c r="F32" s="75" t="inlineStr">
        <is>
          <t>Data Protection</t>
        </is>
      </c>
      <c r="G32" s="62" t="n"/>
    </row>
    <row r="33" ht="18" customHeight="1" s="55">
      <c r="A33" s="62" t="inlineStr">
        <is>
          <t>Internal documentation retrieval</t>
        </is>
      </c>
      <c r="B33" s="68" t="inlineStr">
        <is>
          <t>Medium</t>
        </is>
      </c>
      <c r="C33" s="62" t="inlineStr">
        <is>
          <t>No</t>
        </is>
      </c>
      <c r="D33" s="62" t="inlineStr">
        <is>
          <t>Read-only access; access logging; scoped permissions</t>
        </is>
      </c>
      <c r="E33" s="62" t="inlineStr">
        <is>
          <t>Knostic, Cyera, Reco.ai</t>
        </is>
      </c>
      <c r="F33" s="75" t="inlineStr">
        <is>
          <t>Data Protection</t>
        </is>
      </c>
      <c r="G33" s="62" t="n"/>
    </row>
    <row r="34" ht="18" customHeight="1" s="55">
      <c r="A34" s="62" t="inlineStr">
        <is>
          <t>Code repository read access</t>
        </is>
      </c>
      <c r="B34" s="68" t="inlineStr">
        <is>
          <t>Medium</t>
        </is>
      </c>
      <c r="C34" s="62" t="inlineStr">
        <is>
          <t>No</t>
        </is>
      </c>
      <c r="D34" s="62" t="inlineStr">
        <is>
          <t>Scoped to specific repos; access logging</t>
        </is>
      </c>
      <c r="E34" s="62" t="inlineStr">
        <is>
          <t>Wiz, Noma, HiddenLayer</t>
        </is>
      </c>
      <c r="F34" s="71" t="inlineStr">
        <is>
          <t>Posture</t>
        </is>
      </c>
      <c r="G34" s="62" t="n"/>
    </row>
    <row r="35" ht="18" customHeight="1" s="55">
      <c r="A35" s="62" t="inlineStr">
        <is>
          <t>Email / chat / messaging read access</t>
        </is>
      </c>
      <c r="B35" s="68" t="inlineStr">
        <is>
          <t>Medium</t>
        </is>
      </c>
      <c r="C35" s="62" t="inlineStr">
        <is>
          <t>No</t>
        </is>
      </c>
      <c r="D35" s="62" t="inlineStr">
        <is>
          <t>Scoped channels; PII redaction; query logging</t>
        </is>
      </c>
      <c r="E35" s="62" t="inlineStr">
        <is>
          <t>Harmonic, Nightfall, Knostic</t>
        </is>
      </c>
      <c r="F35" s="73" t="inlineStr">
        <is>
          <t>Shadow AI, Data Protection</t>
        </is>
      </c>
      <c r="G35" s="62" t="n"/>
    </row>
    <row r="36" ht="31.5" customHeight="1" s="55">
      <c r="A36" s="62" t="inlineStr">
        <is>
          <t>LLM prompt processing (text)</t>
        </is>
      </c>
      <c r="B36" s="68" t="inlineStr">
        <is>
          <t>Medium</t>
        </is>
      </c>
      <c r="C36" s="62" t="inlineStr">
        <is>
          <t>No</t>
        </is>
      </c>
      <c r="D36" s="62" t="inlineStr">
        <is>
          <t>Input validation; prompt injection detection; query logging</t>
        </is>
      </c>
      <c r="E36" s="62" t="inlineStr">
        <is>
          <t>Arthur AI, Mindgard, Rebuff, Prompt Armor</t>
        </is>
      </c>
      <c r="F36" s="72" t="inlineStr">
        <is>
          <t>Runtime Protection</t>
        </is>
      </c>
      <c r="G36" s="62" t="n"/>
    </row>
    <row r="37" ht="31.5" customHeight="1" s="55">
      <c r="A37" s="62" t="inlineStr">
        <is>
          <t>Multi-modal input processing (image / audio / video)</t>
        </is>
      </c>
      <c r="B37" s="68" t="inlineStr">
        <is>
          <t>Medium</t>
        </is>
      </c>
      <c r="C37" s="62" t="inlineStr">
        <is>
          <t>No</t>
        </is>
      </c>
      <c r="D37" s="62" t="inlineStr">
        <is>
          <t>Input sanitization; vision / audio injection detection; content moderation</t>
        </is>
      </c>
      <c r="E37" s="62" t="inlineStr">
        <is>
          <t>Lakera, Arthur AI, Azure AI Content Safety</t>
        </is>
      </c>
      <c r="F37" s="72" t="inlineStr">
        <is>
          <t>Runtime Protection, Data Protection</t>
        </is>
      </c>
      <c r="G37" s="62" t="n"/>
    </row>
    <row r="38" ht="31.5" customHeight="1" s="55">
      <c r="A38" s="62" t="inlineStr">
        <is>
          <t>AI response generation (text)</t>
        </is>
      </c>
      <c r="B38" s="68" t="inlineStr">
        <is>
          <t>Medium</t>
        </is>
      </c>
      <c r="C38" s="62" t="inlineStr">
        <is>
          <t>No</t>
        </is>
      </c>
      <c r="D38" s="62" t="inlineStr">
        <is>
          <t>Output filtering; hallucination scoring; content moderation</t>
        </is>
      </c>
      <c r="E38" s="62" t="inlineStr">
        <is>
          <t>Arthur AI, Patronus, Arize</t>
        </is>
      </c>
      <c r="F38" s="72" t="inlineStr">
        <is>
          <t>Runtime, Observability</t>
        </is>
      </c>
      <c r="G38" s="62" t="n"/>
    </row>
    <row r="39" ht="31.5" customHeight="1" s="55">
      <c r="A39" s="62" t="inlineStr">
        <is>
          <t>Vector database queries (read-only)</t>
        </is>
      </c>
      <c r="B39" s="68" t="inlineStr">
        <is>
          <t>Medium</t>
        </is>
      </c>
      <c r="C39" s="62" t="inlineStr">
        <is>
          <t>No</t>
        </is>
      </c>
      <c r="D39" s="62" t="inlineStr">
        <is>
          <t>Access logging; scope to approved collections; no PII in embeddings</t>
        </is>
      </c>
      <c r="E39" s="62" t="inlineStr">
        <is>
          <t>Knostic, Cyera, Wiz</t>
        </is>
      </c>
      <c r="F39" s="75" t="inlineStr">
        <is>
          <t>Data Protection, AI Supply Chain</t>
        </is>
      </c>
      <c r="G39" s="62" t="n"/>
    </row>
    <row r="40" ht="31.5" customHeight="1" s="55">
      <c r="A40" s="62" t="inlineStr">
        <is>
          <t>Prompt chaining / workflow orchestration</t>
        </is>
      </c>
      <c r="B40" s="68" t="inlineStr">
        <is>
          <t>Medium</t>
        </is>
      </c>
      <c r="C40" s="78" t="inlineStr">
        <is>
          <t>Yes</t>
        </is>
      </c>
      <c r="D40" s="62" t="inlineStr">
        <is>
          <t>Monitor chain depth; log intermediate outputs; timeout + cost limits</t>
        </is>
      </c>
      <c r="E40" s="62" t="inlineStr">
        <is>
          <t>Arthur AI, LangSmith, Arize</t>
        </is>
      </c>
      <c r="F40" s="72" t="inlineStr">
        <is>
          <t>Runtime, Observability</t>
        </is>
      </c>
      <c r="G40" s="62" t="n"/>
    </row>
    <row r="41" ht="31.5" customHeight="1" s="55">
      <c r="A41" s="62" t="inlineStr">
        <is>
          <t>Prompt caching across requests</t>
        </is>
      </c>
      <c r="B41" s="68" t="inlineStr">
        <is>
          <t>Medium</t>
        </is>
      </c>
      <c r="C41" s="62" t="inlineStr">
        <is>
          <t>No</t>
        </is>
      </c>
      <c r="D41" s="62" t="inlineStr">
        <is>
          <t>User-isolated cache; TTL ≤ 1 hour; no cross-tenant reuse</t>
        </is>
      </c>
      <c r="E41" s="62" t="inlineStr">
        <is>
          <t>Portkey, LangSmith, vendor-native</t>
        </is>
      </c>
      <c r="F41" s="75" t="inlineStr">
        <is>
          <t>Data Protection, Observability</t>
        </is>
      </c>
      <c r="G41" s="62" t="n"/>
    </row>
    <row r="42" ht="31.5" customHeight="1" s="55">
      <c r="A42" s="62" t="inlineStr">
        <is>
          <t>MCP server: vendor-signed / verified</t>
        </is>
      </c>
      <c r="B42" s="68" t="inlineStr">
        <is>
          <t>Medium</t>
        </is>
      </c>
      <c r="C42" s="78" t="inlineStr">
        <is>
          <t>Yes</t>
        </is>
      </c>
      <c r="D42" s="62" t="inlineStr">
        <is>
          <t>Verify signature; allowlist signer; rate-limit tool calls</t>
        </is>
      </c>
      <c r="E42" s="62" t="inlineStr">
        <is>
          <t>Anthropic signed MCP registry, Snyk</t>
        </is>
      </c>
      <c r="F42" s="76" t="inlineStr">
        <is>
          <t>NHI &amp; Agentic Access, AI Supply Chain</t>
        </is>
      </c>
      <c r="G42" s="62" t="n"/>
    </row>
    <row r="43" ht="18" customHeight="1" s="55">
      <c r="A43" s="83" t="inlineStr">
        <is>
          <t>HIGH RISK - committee review required; enhanced controls</t>
        </is>
      </c>
    </row>
    <row r="44" ht="31.5" customHeight="1" s="55">
      <c r="A44" s="62" t="inlineStr">
        <is>
          <t>Automated file handling (read/write)</t>
        </is>
      </c>
      <c r="B44" s="69" t="inlineStr">
        <is>
          <t>High</t>
        </is>
      </c>
      <c r="C44" s="62" t="inlineStr">
        <is>
          <t>No</t>
        </is>
      </c>
      <c r="D44" s="62" t="inlineStr">
        <is>
          <t>Default read-only; path allowlist; sensitive-dir restrictions</t>
        </is>
      </c>
      <c r="E44" s="62" t="inlineStr">
        <is>
          <t>Cyera, BigID, Netskope</t>
        </is>
      </c>
      <c r="F44" s="75" t="inlineStr">
        <is>
          <t>Data Protection</t>
        </is>
      </c>
      <c r="G44" s="62" t="n"/>
    </row>
    <row r="45" ht="31.5" customHeight="1" s="55">
      <c r="A45" s="62" t="inlineStr">
        <is>
          <t>File-system traversal outside workspace</t>
        </is>
      </c>
      <c r="B45" s="69" t="inlineStr">
        <is>
          <t>High</t>
        </is>
      </c>
      <c r="C45" s="78" t="inlineStr">
        <is>
          <t>Yes</t>
        </is>
      </c>
      <c r="D45" s="62" t="inlineStr">
        <is>
          <t>Path allowlist with explicit deny for credentials/config paths; audit every open</t>
        </is>
      </c>
      <c r="E45" s="62" t="inlineStr">
        <is>
          <t>Custom sandbox, Noma</t>
        </is>
      </c>
      <c r="F45" s="76" t="inlineStr">
        <is>
          <t>NHI &amp; Agentic Access, Data Protection</t>
        </is>
      </c>
      <c r="G45" s="62" t="n"/>
    </row>
    <row r="46" ht="31.5" customHeight="1" s="55">
      <c r="A46" s="62" t="inlineStr">
        <is>
          <t>Code repository write access</t>
        </is>
      </c>
      <c r="B46" s="69" t="inlineStr">
        <is>
          <t>High</t>
        </is>
      </c>
      <c r="C46" s="78" t="inlineStr">
        <is>
          <t>Yes</t>
        </is>
      </c>
      <c r="D46" s="62" t="inlineStr">
        <is>
          <t>Approval required; logging for AI-generated commits; branch protection</t>
        </is>
      </c>
      <c r="E46" s="62" t="inlineStr">
        <is>
          <t>Noma, HiddenLayer, Wiz, CrowdStrike</t>
        </is>
      </c>
      <c r="F46" s="71" t="inlineStr">
        <is>
          <t>Posture, Runtime</t>
        </is>
      </c>
      <c r="G46" s="62" t="n"/>
    </row>
    <row r="47" ht="31.5" customHeight="1" s="55">
      <c r="A47" s="62" t="inlineStr">
        <is>
          <t>Enterprise file indexing and search</t>
        </is>
      </c>
      <c r="B47" s="69" t="inlineStr">
        <is>
          <t>High</t>
        </is>
      </c>
      <c r="C47" s="62" t="inlineStr">
        <is>
          <t>No</t>
        </is>
      </c>
      <c r="D47" s="62" t="inlineStr">
        <is>
          <t>Read-only unless explicitly permitted; indexed scope approved in writing</t>
        </is>
      </c>
      <c r="E47" s="62" t="inlineStr">
        <is>
          <t>Knostic, Cyera, BigID</t>
        </is>
      </c>
      <c r="F47" s="75" t="inlineStr">
        <is>
          <t>Data Protection</t>
        </is>
      </c>
      <c r="G47" s="62" t="n"/>
    </row>
    <row r="48" ht="31.5" customHeight="1" s="55">
      <c r="A48" s="62" t="inlineStr">
        <is>
          <t>Automated messaging / email send</t>
        </is>
      </c>
      <c r="B48" s="69" t="inlineStr">
        <is>
          <t>High</t>
        </is>
      </c>
      <c r="C48" s="78" t="inlineStr">
        <is>
          <t>Yes</t>
        </is>
      </c>
      <c r="D48" s="62" t="inlineStr">
        <is>
          <t>Explicit approval; per-recipient allowlist; log and hold for review queue</t>
        </is>
      </c>
      <c r="E48" s="62" t="inlineStr">
        <is>
          <t>Arthur AI, Mindgard, Harmonic</t>
        </is>
      </c>
      <c r="F48" s="72" t="inlineStr">
        <is>
          <t>Runtime, Data Protection</t>
        </is>
      </c>
      <c r="G48" s="62" t="n"/>
    </row>
    <row r="49" ht="31.5" customHeight="1" s="55">
      <c r="A49" s="62" t="inlineStr">
        <is>
          <t>AI memory and context storage (user-scoped)</t>
        </is>
      </c>
      <c r="B49" s="69" t="inlineStr">
        <is>
          <t>High</t>
        </is>
      </c>
      <c r="C49" s="78" t="inlineStr">
        <is>
          <t>Yes</t>
        </is>
      </c>
      <c r="D49" s="62" t="inlineStr">
        <is>
          <t>Encrypt at rest; classify contents; retention TTL; block writes of secrets</t>
        </is>
      </c>
      <c r="E49" s="62" t="inlineStr">
        <is>
          <t>Knostic, Cyera, Noma</t>
        </is>
      </c>
      <c r="F49" s="75" t="inlineStr">
        <is>
          <t>Data Protection, Posture</t>
        </is>
      </c>
      <c r="G49" s="62" t="n"/>
    </row>
    <row r="50" ht="31.5" customHeight="1" s="55">
      <c r="A50" s="62" t="inlineStr">
        <is>
          <t>Agent memory write-back to shared stores</t>
        </is>
      </c>
      <c r="B50" s="69" t="inlineStr">
        <is>
          <t>High</t>
        </is>
      </c>
      <c r="C50" s="78" t="inlineStr">
        <is>
          <t>Yes</t>
        </is>
      </c>
      <c r="D50" s="62" t="inlineStr">
        <is>
          <t>Approval for shared memory; classification gate; cross-user leakage tests</t>
        </is>
      </c>
      <c r="E50" s="62" t="inlineStr">
        <is>
          <t>Knostic, Cyera, vector-store-native</t>
        </is>
      </c>
      <c r="F50" s="75" t="inlineStr">
        <is>
          <t>Data Protection, AI Supply Chain</t>
        </is>
      </c>
      <c r="G50" s="62" t="n"/>
    </row>
    <row r="51" ht="31.5" customHeight="1" s="55">
      <c r="A51" s="62" t="inlineStr">
        <is>
          <t>Business intelligence system updates</t>
        </is>
      </c>
      <c r="B51" s="69" t="inlineStr">
        <is>
          <t>High</t>
        </is>
      </c>
      <c r="C51" s="62" t="inlineStr">
        <is>
          <t>No</t>
        </is>
      </c>
      <c r="D51" s="62" t="inlineStr">
        <is>
          <t>Security clearance; strict logging; RBAC; reversible-only by default</t>
        </is>
      </c>
      <c r="E51" s="62" t="inlineStr">
        <is>
          <t>Cyera, BigID, Silverfort</t>
        </is>
      </c>
      <c r="F51" s="75" t="inlineStr">
        <is>
          <t>Data Protection, NHI</t>
        </is>
      </c>
      <c r="G51" s="62" t="n"/>
    </row>
    <row r="52" ht="31.5" customHeight="1" s="55">
      <c r="A52" s="62" t="inlineStr">
        <is>
          <t>HR / Financial / PII system access</t>
        </is>
      </c>
      <c r="B52" s="69" t="inlineStr">
        <is>
          <t>High</t>
        </is>
      </c>
      <c r="C52" s="62" t="inlineStr">
        <is>
          <t>No</t>
        </is>
      </c>
      <c r="D52" s="62" t="inlineStr">
        <is>
          <t>MFA; strict RBAC; committee approval; full audit logging</t>
        </is>
      </c>
      <c r="E52" s="62" t="inlineStr">
        <is>
          <t>Silverfort, Cyera, ServiceNow</t>
        </is>
      </c>
      <c r="F52" s="76" t="inlineStr">
        <is>
          <t>NHI, Data Protection</t>
        </is>
      </c>
      <c r="G52" s="62" t="n"/>
    </row>
    <row r="53" ht="31.5" customHeight="1" s="55">
      <c r="A53" s="62" t="inlineStr">
        <is>
          <t>Cloud storage access (S3 / GCS / Azure Blob)</t>
        </is>
      </c>
      <c r="B53" s="69" t="inlineStr">
        <is>
          <t>High</t>
        </is>
      </c>
      <c r="C53" s="62" t="inlineStr">
        <is>
          <t>No</t>
        </is>
      </c>
      <c r="D53" s="62" t="inlineStr">
        <is>
          <t>Scoped IAM policies; encryption at rest; bucket policies enforced</t>
        </is>
      </c>
      <c r="E53" s="62" t="inlineStr">
        <is>
          <t>Wiz, Cyera, cloud-native guardrails</t>
        </is>
      </c>
      <c r="F53" s="75" t="inlineStr">
        <is>
          <t>Data Protection, Posture</t>
        </is>
      </c>
      <c r="G53" s="62" t="n"/>
    </row>
    <row r="54" ht="31.5" customHeight="1" s="55">
      <c r="A54" s="62" t="inlineStr">
        <is>
          <t>External API calls (outbound, allowlisted)</t>
        </is>
      </c>
      <c r="B54" s="69" t="inlineStr">
        <is>
          <t>High</t>
        </is>
      </c>
      <c r="C54" s="78" t="inlineStr">
        <is>
          <t>Yes</t>
        </is>
      </c>
      <c r="D54" s="62" t="inlineStr">
        <is>
          <t>Allowlisted endpoints; egress filtering; full request/response logging</t>
        </is>
      </c>
      <c r="E54" s="62" t="inlineStr">
        <is>
          <t>Netskope, Zscaler, Arthur AI</t>
        </is>
      </c>
      <c r="F54" s="75" t="inlineStr">
        <is>
          <t>Data Protection, Runtime</t>
        </is>
      </c>
      <c r="G54" s="62" t="n"/>
    </row>
    <row r="55" ht="31.5" customHeight="1" s="55">
      <c r="A55" s="62" t="inlineStr">
        <is>
          <t>Code execution in sandbox (ephemeral)</t>
        </is>
      </c>
      <c r="B55" s="69" t="inlineStr">
        <is>
          <t>High</t>
        </is>
      </c>
      <c r="C55" s="78" t="inlineStr">
        <is>
          <t>Yes</t>
        </is>
      </c>
      <c r="D55" s="62" t="inlineStr">
        <is>
          <t>Container isolation; resource + time limits; no network unless allowlisted</t>
        </is>
      </c>
      <c r="E55" s="62" t="inlineStr">
        <is>
          <t>Noma, HiddenLayer, Arthur AI</t>
        </is>
      </c>
      <c r="F55" s="71" t="inlineStr">
        <is>
          <t>Posture, Runtime</t>
        </is>
      </c>
      <c r="G55" s="62" t="n"/>
    </row>
    <row r="56" ht="31.5" customHeight="1" s="55">
      <c r="A56" s="62" t="inlineStr">
        <is>
          <t>RAG with confidential documents</t>
        </is>
      </c>
      <c r="B56" s="69" t="inlineStr">
        <is>
          <t>High</t>
        </is>
      </c>
      <c r="C56" s="78" t="inlineStr">
        <is>
          <t>Yes</t>
        </is>
      </c>
      <c r="D56" s="62" t="inlineStr">
        <is>
          <t>Access controls on sources; audit retrieval; response-time DLP</t>
        </is>
      </c>
      <c r="E56" s="62" t="inlineStr">
        <is>
          <t>Knostic, Cyera, Arthur AI</t>
        </is>
      </c>
      <c r="F56" s="75" t="inlineStr">
        <is>
          <t>Data Protection, AI Supply Chain</t>
        </is>
      </c>
      <c r="G56" s="62" t="n"/>
    </row>
    <row r="57" ht="31.5" customHeight="1" s="55">
      <c r="A57" s="62" t="inlineStr">
        <is>
          <t>Tool / function calling by AI agents</t>
        </is>
      </c>
      <c r="B57" s="69" t="inlineStr">
        <is>
          <t>High</t>
        </is>
      </c>
      <c r="C57" s="78" t="inlineStr">
        <is>
          <t>Yes</t>
        </is>
      </c>
      <c r="D57" s="62" t="inlineStr">
        <is>
          <t>Allowlist permitted tools; parameter validation; log every invocation; rate limits</t>
        </is>
      </c>
      <c r="E57" s="62" t="inlineStr">
        <is>
          <t>Arthur AI, Noma, Oasis</t>
        </is>
      </c>
      <c r="F57" s="72" t="inlineStr">
        <is>
          <t>Runtime, NHI</t>
        </is>
      </c>
      <c r="G57" s="62" t="n"/>
    </row>
    <row r="58" ht="31.5" customHeight="1" s="55">
      <c r="A58" s="62" t="inlineStr">
        <is>
          <t>Vector database write access</t>
        </is>
      </c>
      <c r="B58" s="69" t="inlineStr">
        <is>
          <t>High</t>
        </is>
      </c>
      <c r="C58" s="78" t="inlineStr">
        <is>
          <t>Yes</t>
        </is>
      </c>
      <c r="D58" s="62" t="inlineStr">
        <is>
          <t>Validate embeddings do not contain PII; access logging; approval for sensitive data</t>
        </is>
      </c>
      <c r="E58" s="62" t="inlineStr">
        <is>
          <t>Knostic, Cyera, Wiz</t>
        </is>
      </c>
      <c r="F58" s="75" t="inlineStr">
        <is>
          <t>Data Protection, AI Supply Chain</t>
        </is>
      </c>
      <c r="G58" s="62" t="n"/>
    </row>
    <row r="59" ht="31.5" customHeight="1" s="55">
      <c r="A59" s="62" t="inlineStr">
        <is>
          <t>Human-in-the-loop approval workflows</t>
        </is>
      </c>
      <c r="B59" s="69" t="inlineStr">
        <is>
          <t>High</t>
        </is>
      </c>
      <c r="C59" s="78" t="inlineStr">
        <is>
          <t>Yes</t>
        </is>
      </c>
      <c r="D59" s="62" t="inlineStr">
        <is>
          <t>Enforce approval gates; log bypass attempts; audit decisions</t>
        </is>
      </c>
      <c r="E59" s="62" t="inlineStr">
        <is>
          <t>ServiceNow, Noma, Zenity</t>
        </is>
      </c>
      <c r="F59" s="71" t="inlineStr">
        <is>
          <t>Posture, NHI</t>
        </is>
      </c>
      <c r="G59" s="62" t="n"/>
    </row>
    <row r="60" ht="31.5" customHeight="1" s="55">
      <c r="A60" s="62" t="inlineStr">
        <is>
          <t>MCP server: community / OSS</t>
        </is>
      </c>
      <c r="B60" s="69" t="inlineStr">
        <is>
          <t>High</t>
        </is>
      </c>
      <c r="C60" s="78" t="inlineStr">
        <is>
          <t>Yes</t>
        </is>
      </c>
      <c r="D60" s="62" t="inlineStr">
        <is>
          <t>Security review before use; SBOM; sandbox execution; CVE monitoring</t>
        </is>
      </c>
      <c r="E60" s="62" t="inlineStr">
        <is>
          <t>Snyk, Chainguard, Sonatype</t>
        </is>
      </c>
      <c r="F60" s="77" t="inlineStr">
        <is>
          <t>AI Supply Chain, NHI &amp; Agentic Access</t>
        </is>
      </c>
      <c r="G60" s="62" t="n"/>
    </row>
    <row r="61" ht="31.5" customHeight="1" s="55">
      <c r="A61" s="62" t="inlineStr">
        <is>
          <t>Sub-agent spawning (bounded)</t>
        </is>
      </c>
      <c r="B61" s="69" t="inlineStr">
        <is>
          <t>High</t>
        </is>
      </c>
      <c r="C61" s="78" t="inlineStr">
        <is>
          <t>Yes</t>
        </is>
      </c>
      <c r="D61" s="62" t="inlineStr">
        <is>
          <t>Spawn depth limit; resource quota; lineage audit; parent accountability</t>
        </is>
      </c>
      <c r="E61" s="62" t="inlineStr">
        <is>
          <t>Zenity, Noma, Oasis</t>
        </is>
      </c>
      <c r="F61" s="76" t="inlineStr">
        <is>
          <t>NHI &amp; Agentic Access, Posture</t>
        </is>
      </c>
      <c r="G61" s="62" t="n"/>
    </row>
    <row r="62" ht="31.5" customHeight="1" s="55">
      <c r="A62" s="62" t="inlineStr">
        <is>
          <t>Dynamic tool loading at runtime</t>
        </is>
      </c>
      <c r="B62" s="69" t="inlineStr">
        <is>
          <t>High</t>
        </is>
      </c>
      <c r="C62" s="78" t="inlineStr">
        <is>
          <t>Yes</t>
        </is>
      </c>
      <c r="D62" s="62" t="inlineStr">
        <is>
          <t>Signed-only tools; allowlist check; no arbitrary code execution from untrusted input</t>
        </is>
      </c>
      <c r="E62" s="62" t="inlineStr">
        <is>
          <t>Snyk, Noma</t>
        </is>
      </c>
      <c r="F62" s="77" t="inlineStr">
        <is>
          <t>AI Supply Chain, NHI &amp; Agentic Access</t>
        </is>
      </c>
      <c r="G62" s="62" t="n"/>
    </row>
    <row r="63" ht="31.5" customHeight="1" s="55">
      <c r="A63" s="62" t="inlineStr">
        <is>
          <t>Long-running / background agents</t>
        </is>
      </c>
      <c r="B63" s="69" t="inlineStr">
        <is>
          <t>High</t>
        </is>
      </c>
      <c r="C63" s="78" t="inlineStr">
        <is>
          <t>Yes</t>
        </is>
      </c>
      <c r="D63" s="62" t="inlineStr">
        <is>
          <t>Liveness monitoring; action budget per hour; drift/off-task detection</t>
        </is>
      </c>
      <c r="E63" s="62" t="inlineStr">
        <is>
          <t>Arize, LangSmith, Noma</t>
        </is>
      </c>
      <c r="F63" s="74" t="inlineStr">
        <is>
          <t>Observability, Runtime</t>
        </is>
      </c>
      <c r="G63" s="62" t="n"/>
    </row>
    <row r="64" ht="31.5" customHeight="1" s="55">
      <c r="A64" s="62" t="inlineStr">
        <is>
          <t>Model-in-the-loop decision routing</t>
        </is>
      </c>
      <c r="B64" s="69" t="inlineStr">
        <is>
          <t>High</t>
        </is>
      </c>
      <c r="C64" s="78" t="inlineStr">
        <is>
          <t>Yes</t>
        </is>
      </c>
      <c r="D64" s="62" t="inlineStr">
        <is>
          <t>Log routing decisions; bias monitoring; override path; human review sampling</t>
        </is>
      </c>
      <c r="E64" s="62" t="inlineStr">
        <is>
          <t>Arthur AI, Arize, Patronus</t>
        </is>
      </c>
      <c r="F64" s="74" t="inlineStr">
        <is>
          <t>Observability, Runtime</t>
        </is>
      </c>
      <c r="G64" s="62" t="n"/>
    </row>
    <row r="65" ht="31.5" customHeight="1" s="55">
      <c r="A65" s="62" t="inlineStr">
        <is>
          <t>Fine-tuning with customer / non-production data</t>
        </is>
      </c>
      <c r="B65" s="69" t="inlineStr">
        <is>
          <t>High</t>
        </is>
      </c>
      <c r="C65" s="62" t="inlineStr">
        <is>
          <t>No</t>
        </is>
      </c>
      <c r="D65" s="62" t="inlineStr">
        <is>
          <t>Training data lineage; rights verification; no PII unless contracted</t>
        </is>
      </c>
      <c r="E65" s="62" t="inlineStr">
        <is>
          <t>HiddenLayer, Noma, Cyera</t>
        </is>
      </c>
      <c r="F65" s="77" t="inlineStr">
        <is>
          <t>AI Supply Chain, Data Protection</t>
        </is>
      </c>
      <c r="G65" s="62" t="n"/>
    </row>
    <row r="66" ht="31.5" customHeight="1" s="55">
      <c r="A66" s="62" t="inlineStr">
        <is>
          <t>Content generation for external publication</t>
        </is>
      </c>
      <c r="B66" s="69" t="inlineStr">
        <is>
          <t>High</t>
        </is>
      </c>
      <c r="C66" s="62" t="inlineStr">
        <is>
          <t>No</t>
        </is>
      </c>
      <c r="D66" s="62" t="inlineStr">
        <is>
          <t>Watermarking / C2PA; attribution logging; human approval gate</t>
        </is>
      </c>
      <c r="E66" s="62" t="inlineStr">
        <is>
          <t>C2PA tooling, Arthur AI</t>
        </is>
      </c>
      <c r="F66" s="72" t="inlineStr">
        <is>
          <t>Runtime, Observability</t>
        </is>
      </c>
      <c r="G66" s="62" t="n"/>
    </row>
    <row r="67" ht="18" customHeight="1" s="55">
      <c r="A67" s="84" t="inlineStr">
        <is>
          <t>SEVERE RISK - exception required; comprehensive controls</t>
        </is>
      </c>
    </row>
    <row r="68" ht="31.5" customHeight="1" s="55">
      <c r="A68" s="62" t="inlineStr">
        <is>
          <t>Autonomous web browsing</t>
        </is>
      </c>
      <c r="B68" s="70" t="inlineStr">
        <is>
          <t>Severe</t>
        </is>
      </c>
      <c r="C68" s="78" t="inlineStr">
        <is>
          <t>Yes</t>
        </is>
      </c>
      <c r="D68" s="62" t="inlineStr">
        <is>
          <t>Formal exception; no direct action on retrieved content; domain allowlist</t>
        </is>
      </c>
      <c r="E68" s="62" t="inlineStr">
        <is>
          <t>Full stack + formal review</t>
        </is>
      </c>
      <c r="F68" s="62" t="inlineStr">
        <is>
          <t>All 7 families</t>
        </is>
      </c>
      <c r="G68" s="62" t="n"/>
    </row>
    <row r="69" ht="31.5" customHeight="1" s="55">
      <c r="A69" s="62" t="inlineStr">
        <is>
          <t>Log analysis containing PII / regulated data</t>
        </is>
      </c>
      <c r="B69" s="70" t="inlineStr">
        <is>
          <t>Severe</t>
        </is>
      </c>
      <c r="C69" s="62" t="inlineStr">
        <is>
          <t>No</t>
        </is>
      </c>
      <c r="D69" s="62" t="inlineStr">
        <is>
          <t>Security review; masking before processing; need-to-know gate</t>
        </is>
      </c>
      <c r="E69" s="62" t="inlineStr">
        <is>
          <t>Cyera + Datadog + review</t>
        </is>
      </c>
      <c r="F69" s="75" t="inlineStr">
        <is>
          <t>Data Protection, Observability</t>
        </is>
      </c>
      <c r="G69" s="62" t="n"/>
    </row>
    <row r="70" ht="31.5" customHeight="1" s="55">
      <c r="A70" s="62" t="inlineStr">
        <is>
          <t>Shell / bash execution</t>
        </is>
      </c>
      <c r="B70" s="70" t="inlineStr">
        <is>
          <t>Severe</t>
        </is>
      </c>
      <c r="C70" s="78" t="inlineStr">
        <is>
          <t>Yes</t>
        </is>
      </c>
      <c r="D70" s="62" t="inlineStr">
        <is>
          <t>Ephemeral sandbox; command allowlist; no sudo; every command logged</t>
        </is>
      </c>
      <c r="E70" s="62" t="inlineStr">
        <is>
          <t>Custom sandbox + PAM-brokered execution</t>
        </is>
      </c>
      <c r="F70" s="76" t="inlineStr">
        <is>
          <t>NHI &amp; Agentic Access, Runtime</t>
        </is>
      </c>
      <c r="G70" s="62" t="n"/>
    </row>
    <row r="71" ht="31.5" customHeight="1" s="55">
      <c r="A71" s="62" t="inlineStr">
        <is>
          <t>Privileged system automation (prod infra)</t>
        </is>
      </c>
      <c r="B71" s="70" t="inlineStr">
        <is>
          <t>Severe</t>
        </is>
      </c>
      <c r="C71" s="78" t="inlineStr">
        <is>
          <t>Yes</t>
        </is>
      </c>
      <c r="D71" s="62" t="inlineStr">
        <is>
          <t>Formal approval; time-bounded; break-glass; session recording</t>
        </is>
      </c>
      <c r="E71" s="62" t="inlineStr">
        <is>
          <t>Silverfort, Astrix, Oasis + PAM</t>
        </is>
      </c>
      <c r="F71" s="76" t="inlineStr">
        <is>
          <t>NHI, Posture</t>
        </is>
      </c>
      <c r="G71" s="62" t="n"/>
    </row>
    <row r="72" ht="31.5" customHeight="1" s="55">
      <c r="A72" s="62" t="inlineStr">
        <is>
          <t>Unrestricted code execution (no sandbox)</t>
        </is>
      </c>
      <c r="B72" s="70" t="inlineStr">
        <is>
          <t>Severe</t>
        </is>
      </c>
      <c r="C72" s="78" t="inlineStr">
        <is>
          <t>Yes</t>
        </is>
      </c>
      <c r="D72" s="62" t="inlineStr">
        <is>
          <t>Blocked by default; exception requires containment and monitoring</t>
        </is>
      </c>
      <c r="E72" s="62" t="inlineStr">
        <is>
          <t>Full stack + mandatory sandbox</t>
        </is>
      </c>
      <c r="F72" s="62" t="inlineStr">
        <is>
          <t>All 7 families</t>
        </is>
      </c>
      <c r="G72" s="62" t="n"/>
    </row>
    <row r="73" ht="31.5" customHeight="1" s="55">
      <c r="A73" s="62" t="inlineStr">
        <is>
          <t>Model fine-tuning with production data</t>
        </is>
      </c>
      <c r="B73" s="70" t="inlineStr">
        <is>
          <t>Severe</t>
        </is>
      </c>
      <c r="C73" s="62" t="inlineStr">
        <is>
          <t>No</t>
        </is>
      </c>
      <c r="D73" s="62" t="inlineStr">
        <is>
          <t>Data governance review; IP protection; time-limited exception</t>
        </is>
      </c>
      <c r="E73" s="62" t="inlineStr">
        <is>
          <t>Noma, HiddenLayer, Cyera, BigID</t>
        </is>
      </c>
      <c r="F73" s="77" t="inlineStr">
        <is>
          <t>AI Supply Chain, Data Protection</t>
        </is>
      </c>
      <c r="G73" s="62" t="n"/>
    </row>
    <row r="74" ht="31.5" customHeight="1" s="55">
      <c r="A74" s="62" t="inlineStr">
        <is>
          <t>Infrastructure automation (Terraform, K8s)</t>
        </is>
      </c>
      <c r="B74" s="70" t="inlineStr">
        <is>
          <t>Severe</t>
        </is>
      </c>
      <c r="C74" s="78" t="inlineStr">
        <is>
          <t>Yes</t>
        </is>
      </c>
      <c r="D74" s="62" t="inlineStr">
        <is>
          <t>Prohibited by default; full review; scoped admin rights; reversible-only</t>
        </is>
      </c>
      <c r="E74" s="62" t="inlineStr">
        <is>
          <t>Silverfort, Astrix + review</t>
        </is>
      </c>
      <c r="F74" s="76" t="inlineStr">
        <is>
          <t>NHI, Posture</t>
        </is>
      </c>
      <c r="G74" s="62" t="n"/>
    </row>
    <row r="75" ht="31.5" customHeight="1" s="55">
      <c r="A75" s="62" t="inlineStr">
        <is>
          <t>Autonomous agent with unrestricted API access</t>
        </is>
      </c>
      <c r="B75" s="70" t="inlineStr">
        <is>
          <t>Severe</t>
        </is>
      </c>
      <c r="C75" s="78" t="inlineStr">
        <is>
          <t>Yes</t>
        </is>
      </c>
      <c r="D75" s="62" t="inlineStr">
        <is>
          <t>Prohibited by default; exception with strict monitoring + kill switch</t>
        </is>
      </c>
      <c r="E75" s="62" t="inlineStr">
        <is>
          <t>Full stack + continuous monitoring</t>
        </is>
      </c>
      <c r="F75" s="62" t="inlineStr">
        <is>
          <t>All 7 families</t>
        </is>
      </c>
      <c r="G75" s="62" t="n"/>
    </row>
    <row r="76" ht="31.5" customHeight="1" s="55">
      <c r="A76" s="62" t="inlineStr">
        <is>
          <t>Multi-agent orchestration (autonomous)</t>
        </is>
      </c>
      <c r="B76" s="70" t="inlineStr">
        <is>
          <t>Severe</t>
        </is>
      </c>
      <c r="C76" s="78" t="inlineStr">
        <is>
          <t>Yes</t>
        </is>
      </c>
      <c r="D76" s="62" t="inlineStr">
        <is>
          <t>Agent inventory; inter-agent auth; boundary controls; kill switches</t>
        </is>
      </c>
      <c r="E76" s="62" t="inlineStr">
        <is>
          <t>Zenity, Oasis, Astrix + full stack</t>
        </is>
      </c>
      <c r="F76" s="76" t="inlineStr">
        <is>
          <t>NHI, Posture</t>
        </is>
      </c>
      <c r="G76" s="62" t="n"/>
    </row>
    <row r="77" ht="18" customHeight="1" s="55">
      <c r="A77" s="62" t="inlineStr">
        <is>
          <t>Agent task delegation / unbounded spawning</t>
        </is>
      </c>
      <c r="B77" s="70" t="inlineStr">
        <is>
          <t>Severe</t>
        </is>
      </c>
      <c r="C77" s="78" t="inlineStr">
        <is>
          <t>Yes</t>
        </is>
      </c>
      <c r="D77" s="62" t="inlineStr">
        <is>
          <t>Prohibited by default; spawn quotas; audit lineage</t>
        </is>
      </c>
      <c r="E77" s="62" t="inlineStr">
        <is>
          <t>Zenity, Noma, Oasis</t>
        </is>
      </c>
      <c r="F77" s="76" t="inlineStr">
        <is>
          <t>NHI, Posture</t>
        </is>
      </c>
      <c r="G77" s="62" t="n"/>
    </row>
    <row r="78" ht="31.5" customHeight="1" s="55">
      <c r="A78" s="62" t="inlineStr">
        <is>
          <t>Autonomous decision-making on consequential actions</t>
        </is>
      </c>
      <c r="B78" s="70" t="inlineStr">
        <is>
          <t>Severe</t>
        </is>
      </c>
      <c r="C78" s="78" t="inlineStr">
        <is>
          <t>Yes</t>
        </is>
      </c>
      <c r="D78" s="62" t="inlineStr">
        <is>
          <t>Prohibited for consequential decisions; exception + audit trail</t>
        </is>
      </c>
      <c r="E78" s="62" t="inlineStr">
        <is>
          <t>Full stack + mandatory logging</t>
        </is>
      </c>
      <c r="F78" s="62" t="inlineStr">
        <is>
          <t>All 7 families</t>
        </is>
      </c>
      <c r="G78" s="62" t="n"/>
    </row>
    <row r="79" ht="31.5" customHeight="1" s="55">
      <c r="A79" s="62" t="inlineStr">
        <is>
          <t>Computer use / screen capture / mouse+keyboard control</t>
        </is>
      </c>
      <c r="B79" s="70" t="inlineStr">
        <is>
          <t>Severe</t>
        </is>
      </c>
      <c r="C79" s="78" t="inlineStr">
        <is>
          <t>Yes</t>
        </is>
      </c>
      <c r="D79" s="62" t="inlineStr">
        <is>
          <t>Formal exception; scoped screen area; action replay required; immediate kill switch</t>
        </is>
      </c>
      <c r="E79" s="62" t="inlineStr">
        <is>
          <t>Zenity, Noma, custom sandbox</t>
        </is>
      </c>
      <c r="F79" s="62" t="inlineStr">
        <is>
          <t>All 7 families</t>
        </is>
      </c>
      <c r="G79" s="62" t="n"/>
    </row>
    <row r="80" ht="31.5" customHeight="1" s="55">
      <c r="A80" s="62" t="inlineStr">
        <is>
          <t>MCP server: custom / self-built (unreviewed)</t>
        </is>
      </c>
      <c r="B80" s="70" t="inlineStr">
        <is>
          <t>Severe</t>
        </is>
      </c>
      <c r="C80" s="78" t="inlineStr">
        <is>
          <t>Yes</t>
        </is>
      </c>
      <c r="D80" s="62" t="inlineStr">
        <is>
          <t>Prohibited until security review + signing; sandbox execution</t>
        </is>
      </c>
      <c r="E80" s="62" t="inlineStr">
        <is>
          <t>Snyk, Chainguard + internal review</t>
        </is>
      </c>
      <c r="F80" s="77" t="inlineStr">
        <is>
          <t>AI Supply Chain, NHI &amp; Agentic Access</t>
        </is>
      </c>
      <c r="G80" s="62" t="n"/>
    </row>
    <row r="81" ht="31.5" customHeight="1" s="55">
      <c r="A81" s="62" t="inlineStr">
        <is>
          <t>Dynamic model swap at runtime</t>
        </is>
      </c>
      <c r="B81" s="70" t="inlineStr">
        <is>
          <t>Severe</t>
        </is>
      </c>
      <c r="C81" s="78" t="inlineStr">
        <is>
          <t>Yes</t>
        </is>
      </c>
      <c r="D81" s="62" t="inlineStr">
        <is>
          <t>Prohibited unless model registry pin + fallback + approval</t>
        </is>
      </c>
      <c r="E81" s="62" t="inlineStr">
        <is>
          <t>Model registry with attestation</t>
        </is>
      </c>
      <c r="F81" s="77" t="inlineStr">
        <is>
          <t>AI Supply Chain, Posture</t>
        </is>
      </c>
      <c r="G81" s="62" t="n"/>
    </row>
    <row r="83" ht="18" customHeight="1" s="55">
      <c r="A83" s="85" t="inlineStr">
        <is>
          <t>Total functions: 57. Agentic-flagged functions: 31.</t>
        </is>
      </c>
    </row>
  </sheetData>
  <autoFilter ref="A20:G83"/>
  <mergeCells count="11">
    <mergeCell ref="A1:G1"/>
    <mergeCell ref="A17:G17"/>
    <mergeCell ref="A18:G18"/>
    <mergeCell ref="A27:G27"/>
    <mergeCell ref="A67:G67"/>
    <mergeCell ref="A3:G3"/>
    <mergeCell ref="A21:G21"/>
    <mergeCell ref="A83:G83"/>
    <mergeCell ref="A15:G15"/>
    <mergeCell ref="A43:G43"/>
    <mergeCell ref="A5:G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91"/>
  <sheetViews>
    <sheetView showFormulas="0" showGridLines="1" showRowColHeaders="1" showZeros="1" rightToLeft="0" tabSelected="0" showOutlineSymbols="1" defaultGridColor="1" view="normal" topLeftCell="A24" colorId="64" zoomScale="100" zoomScaleNormal="100" zoomScalePageLayoutView="100" workbookViewId="0">
      <selection pane="topLeft" activeCell="A55" activeCellId="0" sqref="A55"/>
    </sheetView>
  </sheetViews>
  <sheetFormatPr baseColWidth="8" defaultColWidth="8.83203125" defaultRowHeight="15" customHeight="0" zeroHeight="0" outlineLevelRow="0"/>
  <cols>
    <col width="32" customWidth="1" style="54" min="1" max="3"/>
    <col width="34" customWidth="1" style="54" min="4" max="4"/>
  </cols>
  <sheetData>
    <row r="1" ht="25.5" customHeight="1" s="55">
      <c r="A1" s="56" t="inlineStr">
        <is>
          <t>AI Tool Intake Form</t>
        </is>
      </c>
    </row>
    <row r="3" ht="15" customHeight="1" s="55">
      <c r="A3" s="59" t="inlineStr">
        <is>
          <t>Quick reference</t>
        </is>
      </c>
    </row>
    <row r="4" ht="15" customHeight="1" s="55">
      <c r="A4" s="61" t="inlineStr">
        <is>
          <t>Risk Level</t>
        </is>
      </c>
      <c r="B4" s="61" t="inlineStr">
        <is>
          <t>Approval</t>
        </is>
      </c>
      <c r="C4" s="61" t="inlineStr">
        <is>
          <t>Review Cadence</t>
        </is>
      </c>
      <c r="D4" s="61" t="n"/>
    </row>
    <row r="5" ht="15" customHeight="1" s="55">
      <c r="A5" s="67" t="inlineStr">
        <is>
          <t>Low</t>
        </is>
      </c>
      <c r="B5" s="62" t="inlineStr">
        <is>
          <t>Standard</t>
        </is>
      </c>
      <c r="C5" s="62" t="inlineStr">
        <is>
          <t>Annual</t>
        </is>
      </c>
      <c r="D5" s="62" t="n"/>
    </row>
    <row r="6" ht="15" customHeight="1" s="55">
      <c r="A6" s="68" t="inlineStr">
        <is>
          <t>Medium</t>
        </is>
      </c>
      <c r="B6" s="62" t="inlineStr">
        <is>
          <t>Department lead</t>
        </is>
      </c>
      <c r="C6" s="62" t="inlineStr">
        <is>
          <t>Semi-annual</t>
        </is>
      </c>
      <c r="D6" s="62" t="n"/>
    </row>
    <row r="7" ht="15" customHeight="1" s="55">
      <c r="A7" s="69" t="inlineStr">
        <is>
          <t>High</t>
        </is>
      </c>
      <c r="B7" s="62" t="inlineStr">
        <is>
          <t>Committee</t>
        </is>
      </c>
      <c r="C7" s="62" t="inlineStr">
        <is>
          <t>Quarterly</t>
        </is>
      </c>
      <c r="D7" s="62" t="n"/>
    </row>
    <row r="8" ht="15" customHeight="1" s="55">
      <c r="A8" s="70" t="inlineStr">
        <is>
          <t>Severe</t>
        </is>
      </c>
      <c r="B8" s="62" t="inlineStr">
        <is>
          <t>Exception required</t>
        </is>
      </c>
      <c r="C8" s="62" t="inlineStr">
        <is>
          <t>Monthly</t>
        </is>
      </c>
      <c r="D8" s="62" t="n"/>
    </row>
    <row r="10" ht="15" customHeight="1" s="55">
      <c r="A10" s="59" t="inlineStr">
        <is>
          <t>PART 1 — Requestor completes</t>
        </is>
      </c>
    </row>
    <row r="11" ht="15" customHeight="1" s="55">
      <c r="A11" s="80" t="inlineStr">
        <is>
          <t>About you</t>
        </is>
      </c>
    </row>
    <row r="12" ht="15" customHeight="1" s="55">
      <c r="A12" s="86" t="inlineStr">
        <is>
          <t>Your name</t>
        </is>
      </c>
      <c r="B12" s="62" t="n"/>
      <c r="C12" s="66" t="n"/>
      <c r="D12" s="87" t="n"/>
    </row>
    <row r="13" ht="15" customHeight="1" s="55">
      <c r="A13" s="86" t="inlineStr">
        <is>
          <t>Your department</t>
        </is>
      </c>
      <c r="B13" s="62" t="n"/>
      <c r="C13" s="66" t="n"/>
      <c r="D13" s="87" t="n"/>
    </row>
    <row r="14" ht="31.5" customHeight="1" s="55">
      <c r="A14" s="86" t="inlineStr">
        <is>
          <t>Your role</t>
        </is>
      </c>
      <c r="B14" s="62" t="inlineStr">
        <is>
          <t>☐ Business owner   ☐ Engineer   ☐ Data scientist   ☐ Architect   ☐ Security   ☐ Compliance   ☐ Other</t>
        </is>
      </c>
      <c r="C14" s="66" t="n"/>
      <c r="D14" s="87" t="inlineStr">
        <is>
          <t>Check one</t>
        </is>
      </c>
    </row>
    <row r="15" ht="15" customHeight="1" s="55">
      <c r="A15" s="86" t="inlineStr">
        <is>
          <t>Request date</t>
        </is>
      </c>
      <c r="B15" s="62" t="n"/>
      <c r="C15" s="66" t="n"/>
      <c r="D15" s="87" t="inlineStr">
        <is>
          <t>YYYY-MM-DD</t>
        </is>
      </c>
    </row>
    <row r="16" ht="15" customHeight="1" s="55">
      <c r="A16" s="86" t="inlineStr">
        <is>
          <t>Business sponsor (if different)</t>
        </is>
      </c>
      <c r="B16" s="62" t="n"/>
      <c r="C16" s="66" t="n"/>
      <c r="D16" s="87" t="n"/>
    </row>
    <row r="18" ht="15" customHeight="1" s="55">
      <c r="A18" s="80" t="inlineStr">
        <is>
          <t>About the tool</t>
        </is>
      </c>
    </row>
    <row r="19" ht="15" customHeight="1" s="55">
      <c r="A19" s="86" t="inlineStr">
        <is>
          <t>Tool name</t>
        </is>
      </c>
      <c r="B19" s="62" t="n"/>
      <c r="C19" s="66" t="n"/>
      <c r="D19" s="87" t="inlineStr">
        <is>
          <t>Product or service name</t>
        </is>
      </c>
    </row>
    <row r="20" ht="31.5" customHeight="1" s="55">
      <c r="A20" s="86" t="inlineStr">
        <is>
          <t>Vendor / provider</t>
        </is>
      </c>
      <c r="B20" s="62" t="n"/>
      <c r="C20" s="66" t="n"/>
      <c r="D20" s="87" t="inlineStr">
        <is>
          <t>Company name, or Internal if built in-house</t>
        </is>
      </c>
    </row>
    <row r="21" ht="15" customHeight="1" s="55">
      <c r="A21" s="86" t="inlineStr">
        <is>
          <t>Website or location</t>
        </is>
      </c>
      <c r="B21" s="62" t="n"/>
      <c r="C21" s="66" t="n"/>
      <c r="D21" s="87" t="inlineStr">
        <is>
          <t>URL, app store, or internal location</t>
        </is>
      </c>
    </row>
    <row r="22" ht="31.5" customHeight="1" s="55">
      <c r="A22" s="86" t="inlineStr">
        <is>
          <t>Tier / edition</t>
        </is>
      </c>
      <c r="B22" s="62" t="inlineStr">
        <is>
          <t>☐ Free / OSS   ☐ Individual / Pro   ☐ Team / Business   ☐ Enterprise   ☐ Custom / negotiated   ☐ Not applicable</t>
        </is>
      </c>
      <c r="C22" s="66" t="n"/>
      <c r="D22" s="87" t="inlineStr">
        <is>
          <t>Controls are often tier-gated</t>
        </is>
      </c>
    </row>
    <row r="23" ht="31.5" customHeight="1" s="55">
      <c r="A23" s="86" t="inlineStr">
        <is>
          <t>Deployment model</t>
        </is>
      </c>
      <c r="B23" s="62" t="inlineStr">
        <is>
          <t>☐ SaaS (vendor-hosted)   ☐ Self-hosted on our infra   ☐ Platform (embedded in our cloud)   ☐ Hybrid   ☐ OSS (we run it)   ☐ Other</t>
        </is>
      </c>
      <c r="C23" s="66" t="n"/>
      <c r="D23" s="87" t="inlineStr">
        <is>
          <t>How does the tool run?</t>
        </is>
      </c>
    </row>
    <row r="24" ht="45.75" customHeight="1" s="55">
      <c r="A24" s="86" t="inlineStr">
        <is>
          <t>Multi-tenancy</t>
        </is>
      </c>
      <c r="B24" s="62" t="inlineStr">
        <is>
          <t>☐ Shared multi-tenant   ☐ Isolated multi-tenant   ☐ Dedicated single-tenant   ☐ Private instance (our VPC)   ☐ Not applicable / unknown</t>
        </is>
      </c>
      <c r="C24" s="66" t="n"/>
      <c r="D24" s="87" t="inlineStr">
        <is>
          <t>How is our data separated from other customers?</t>
        </is>
      </c>
    </row>
    <row r="25" ht="31.5" customHeight="1" s="55">
      <c r="A25" s="86" t="inlineStr">
        <is>
          <t>Hosting region(s)</t>
        </is>
      </c>
      <c r="B25" s="62" t="inlineStr">
        <is>
          <t>☐ US only   ☐ EU only   ☐ US + EU   ☐ Global / other   ☐ Configurable   ☐ Unknown</t>
        </is>
      </c>
      <c r="C25" s="66" t="n"/>
      <c r="D25" s="87" t="n"/>
    </row>
    <row r="27" ht="15" customHeight="1" s="55">
      <c r="A27" s="80" t="inlineStr">
        <is>
          <t>Why you need it</t>
        </is>
      </c>
    </row>
    <row r="28" ht="15" customHeight="1" s="55">
      <c r="A28" s="86" t="inlineStr">
        <is>
          <t>What problem does this solve?</t>
        </is>
      </c>
      <c r="B28" s="62" t="n"/>
      <c r="C28" s="66" t="n"/>
      <c r="D28" s="87" t="inlineStr">
        <is>
          <t>Free text — one paragraph</t>
        </is>
      </c>
    </row>
    <row r="29" ht="15" customHeight="1" s="55">
      <c r="A29" s="86" t="inlineStr">
        <is>
          <t>Who will use it?</t>
        </is>
      </c>
      <c r="B29" s="62" t="n"/>
      <c r="C29" s="66" t="n"/>
      <c r="D29" s="87" t="inlineStr">
        <is>
          <t>Team name and roles (free text)</t>
        </is>
      </c>
    </row>
    <row r="30" ht="31.5" customHeight="1" s="55">
      <c r="A30" s="86" t="inlineStr">
        <is>
          <t>Team size</t>
        </is>
      </c>
      <c r="B30" s="62" t="inlineStr">
        <is>
          <t>☐ 1-10 users   ☐ 11-50 users   ☐ 51-200 users   ☐ 201-1000 users   ☐ 1000+ users   ☐ Non-human only (agents)</t>
        </is>
      </c>
      <c r="C30" s="66" t="n"/>
      <c r="D30" s="87" t="n"/>
    </row>
    <row r="31" ht="15" customHeight="1" s="55">
      <c r="A31" s="86" t="inlineStr">
        <is>
          <t>How often used?</t>
        </is>
      </c>
      <c r="B31" s="62" t="inlineStr">
        <is>
          <t>☐ Daily   ☐ Weekly   ☐ Monthly   ☐ As needed / ad hoc</t>
        </is>
      </c>
      <c r="C31" s="66" t="n"/>
      <c r="D31" s="87" t="n"/>
    </row>
    <row r="32" ht="31.5" customHeight="1" s="55">
      <c r="A32" s="86" t="inlineStr">
        <is>
          <t>Target go-live</t>
        </is>
      </c>
      <c r="B32" s="62" t="inlineStr">
        <is>
          <t>☐ ASAP / this month   ☐ Next quarter   ☐ 3-6 months   ☐ 6-12 months   ☐ Exploratory (&gt; 12 months)</t>
        </is>
      </c>
      <c r="C32" s="66" t="n"/>
      <c r="D32" s="87" t="n"/>
    </row>
    <row r="34" ht="15" customHeight="1" s="55">
      <c r="A34" s="80" t="inlineStr">
        <is>
          <t>What the tool does (check all that apply)</t>
        </is>
      </c>
    </row>
    <row r="35" ht="15" customHeight="1" s="55">
      <c r="A35" s="88" t="inlineStr">
        <is>
          <t>Access company data</t>
        </is>
      </c>
      <c r="B35" s="64" t="inlineStr">
        <is>
          <t>☐ Read docs   ☐ Read DBs   ☐ Update / write   ☐ HR / financial info   ☐ PII / regulated</t>
        </is>
      </c>
      <c r="C35" s="65" t="n"/>
      <c r="D35" s="66" t="n"/>
    </row>
    <row r="36" ht="15" customHeight="1" s="55">
      <c r="A36" s="88" t="inlineStr">
        <is>
          <t>Search &amp; browse</t>
        </is>
      </c>
      <c r="B36" s="64" t="inlineStr">
        <is>
          <t>☐ Web search   ☐ Pull from sites   ☐ Autonomous web browsing</t>
        </is>
      </c>
      <c r="C36" s="65" t="n"/>
      <c r="D36" s="66" t="n"/>
    </row>
    <row r="37" ht="15" customHeight="1" s="55">
      <c r="A37" s="88" t="inlineStr">
        <is>
          <t>Code</t>
        </is>
      </c>
      <c r="B37" s="64" t="inlineStr">
        <is>
          <t>☐ Read code   ☐ Write / suggest code   ☐ Run code (sandbox)   ☐ Run code (unrestricted)</t>
        </is>
      </c>
      <c r="C37" s="65" t="n"/>
      <c r="D37" s="66" t="n"/>
    </row>
    <row r="38" ht="15" customHeight="1" s="55">
      <c r="A38" s="88" t="inlineStr">
        <is>
          <t>Files</t>
        </is>
      </c>
      <c r="B38" s="64" t="inlineStr">
        <is>
          <t>☐ Read   ☐ Create / upload   ☐ Cloud storage   ☐ Filesystem traversal outside workspace</t>
        </is>
      </c>
      <c r="C38" s="65" t="n"/>
      <c r="D38" s="66" t="n"/>
    </row>
    <row r="39" ht="15" customHeight="1" s="55">
      <c r="A39" s="88" t="inlineStr">
        <is>
          <t>Messages</t>
        </is>
      </c>
      <c r="B39" s="64" t="inlineStr">
        <is>
          <t>☐ Read email / chat   ☐ Send email / chat</t>
        </is>
      </c>
      <c r="C39" s="65" t="n"/>
      <c r="D39" s="66" t="n"/>
    </row>
    <row r="40" ht="31.5" customHeight="1" s="55">
      <c r="A40" s="88" t="inlineStr">
        <is>
          <t>AI features</t>
        </is>
      </c>
      <c r="B40" s="64" t="inlineStr">
        <is>
          <t>☐ Chat / Q&amp;A   ☐ Generate content   ☐ Remember past conversations   ☐ Multi-modal (image/audio/video)   ☐ Connect to other AI tools</t>
        </is>
      </c>
      <c r="C40" s="65" t="n"/>
      <c r="D40" s="66" t="n"/>
    </row>
    <row r="41" ht="15" customHeight="1" s="55">
      <c r="A41" s="88" t="inlineStr">
        <is>
          <t>System access</t>
        </is>
      </c>
      <c r="B41" s="64" t="inlineStr">
        <is>
          <t>☐ Monitor systems   ☐ Analyze logs   ☐ Make system changes   ☐ Infrastructure automation</t>
        </is>
      </c>
      <c r="C41" s="65" t="n"/>
      <c r="D41" s="66" t="n"/>
    </row>
    <row r="42" ht="31.5" customHeight="1" s="55">
      <c r="A42" s="88" t="inlineStr">
        <is>
          <t>Agentic capabilities (new)</t>
        </is>
      </c>
      <c r="B42" s="64" t="inlineStr">
        <is>
          <t>☐ Takes actions autonomously   ☐ Uses tools / function calls   ☐ Spawns sub-agents   ☐ Long-running / background   ☐ Computer use (screen / mouse)</t>
        </is>
      </c>
      <c r="C42" s="65" t="n"/>
      <c r="D42" s="66" t="n"/>
    </row>
    <row r="43" ht="15" customHeight="1" s="55">
      <c r="A43" s="88" t="inlineStr">
        <is>
          <t>MCP / plugin use (new)</t>
        </is>
      </c>
      <c r="B43" s="64" t="inlineStr">
        <is>
          <t>☐ None   ☐ Vendor-signed MCP only   ☐ Community / OSS MCP   ☐ Custom / self-built MCP</t>
        </is>
      </c>
      <c r="C43" s="65" t="n"/>
      <c r="D43" s="66" t="n"/>
    </row>
    <row r="45" ht="15" customHeight="1" s="55">
      <c r="A45" s="80" t="inlineStr">
        <is>
          <t>Data handling</t>
        </is>
      </c>
    </row>
    <row r="46" ht="31.5" customHeight="1" s="55">
      <c r="A46" s="86" t="inlineStr">
        <is>
          <t>What kind of data?</t>
        </is>
      </c>
      <c r="B46" s="62" t="inlineStr">
        <is>
          <t>☐ Public   ☐ Internal   ☐ Confidential   ☐ PII   ☐ PHI / regulated   ☐ Trade secret / IP</t>
        </is>
      </c>
      <c r="C46" s="66" t="n"/>
      <c r="D46" s="87" t="n"/>
    </row>
    <row r="47" ht="31.5" customHeight="1" s="55">
      <c r="A47" s="86" t="inlineStr">
        <is>
          <t>Vendor data storage?</t>
        </is>
      </c>
      <c r="B47" s="62" t="inlineStr">
        <is>
          <t>☐ No   ☐ Temporarily (session)   ☐ Cached / stored   ☐ Retained for training   ☐ Unknown</t>
        </is>
      </c>
      <c r="C47" s="66" t="n"/>
      <c r="D47" s="87" t="n"/>
    </row>
    <row r="48" ht="31.5" customHeight="1" s="55">
      <c r="A48" s="86" t="inlineStr">
        <is>
          <t>Training data opt-out in writing?</t>
        </is>
      </c>
      <c r="B48" s="62" t="inlineStr">
        <is>
          <t>☐ Yes, in DPA   ☐ Yes, in settings   ☐ Not available   ☐ Not applicable (internal)</t>
        </is>
      </c>
      <c r="C48" s="66" t="n"/>
      <c r="D48" s="87" t="n"/>
    </row>
    <row r="49" ht="31.5" customHeight="1" s="55">
      <c r="A49" s="86" t="inlineStr">
        <is>
          <t>Integrated systems</t>
        </is>
      </c>
      <c r="B49" s="62" t="n"/>
      <c r="C49" s="66" t="n"/>
      <c r="D49" s="87" t="inlineStr">
        <is>
          <t>List CRM, Slack, DBs, cloud accounts (free text)</t>
        </is>
      </c>
    </row>
    <row r="50" ht="31.5" customHeight="1" s="55">
      <c r="A50" s="86" t="inlineStr">
        <is>
          <t>Data residency options</t>
        </is>
      </c>
      <c r="B50" s="62" t="inlineStr">
        <is>
          <t>☐ US   ☐ EU   ☐ APAC   ☐ Other specified   ☐ Not configurable   ☐ Unknown</t>
        </is>
      </c>
      <c r="C50" s="66" t="n"/>
      <c r="D50" s="87" t="n"/>
    </row>
    <row r="51" ht="31.5" customHeight="1" s="55">
      <c r="A51" s="86" t="inlineStr">
        <is>
          <t>Customer-managed keys (CMK)?</t>
        </is>
      </c>
      <c r="B51" s="62" t="inlineStr">
        <is>
          <t>☐ Yes — all tiers   ☐ Yes — paid tier only   ☐ No   ☐ Not applicable</t>
        </is>
      </c>
      <c r="C51" s="66" t="n"/>
      <c r="D51" s="87" t="n"/>
    </row>
    <row r="52" ht="31.5" customHeight="1" s="55">
      <c r="A52" s="86" t="inlineStr">
        <is>
          <t>Private endpoint / network isolation?</t>
        </is>
      </c>
      <c r="B52" s="62" t="inlineStr">
        <is>
          <t>☐ Yes — all tiers   ☐ Yes — paid tier only   ☐ No   ☐ Not applicable</t>
        </is>
      </c>
      <c r="C52" s="66" t="n"/>
      <c r="D52" s="87" t="n"/>
    </row>
    <row r="53" ht="31.5" customHeight="1" s="55">
      <c r="A53" s="86" t="inlineStr">
        <is>
          <t>Sub-processors (common)</t>
        </is>
      </c>
      <c r="B53" s="62" t="inlineStr">
        <is>
          <t>☐ AWS   ☐ Azure   ☐ GCP   ☐ OpenAI   ☐ Anthropic   ☐ Google   ☐ Other (list)</t>
        </is>
      </c>
      <c r="C53" s="66" t="n"/>
      <c r="D53" s="87" t="inlineStr">
        <is>
          <t>Vendor passes data to these — review DPA subprocessor list</t>
        </is>
      </c>
    </row>
    <row r="54" ht="31.5" customHeight="1" s="55">
      <c r="A54" s="86" t="inlineStr">
        <is>
          <t>Vendor SOC 2 / ISO?</t>
        </is>
      </c>
      <c r="B54" s="62" t="inlineStr">
        <is>
          <t>☐ SOC 2 Type II   ☐ ISO 27001   ☐ ISO 42001   ☐ Both   ☐ Neither   ☐ In progress   ☐ Unknown</t>
        </is>
      </c>
      <c r="C54" s="66" t="n"/>
      <c r="D54" s="87" t="n"/>
    </row>
    <row r="55" ht="31.5" customHeight="1" s="55">
      <c r="A55" s="86" t="inlineStr">
        <is>
          <t>Incident notification SLA</t>
        </is>
      </c>
      <c r="B55" s="62" t="inlineStr">
        <is>
          <t>☐ &lt; 24 hours   ☐ 24-72 hours   ☐ 3-7 days   ☐ &gt; 7 days   ☐ Unspecified / contractual TBD</t>
        </is>
      </c>
      <c r="C55" s="66" t="n"/>
      <c r="D55" s="87" t="inlineStr">
        <is>
          <t>How long from vendor incident to our notification?</t>
        </is>
      </c>
    </row>
    <row r="56" ht="31.5" customHeight="1" s="55">
      <c r="A56" s="86" t="inlineStr">
        <is>
          <t>Business continuity / vendor lockout plan</t>
        </is>
      </c>
      <c r="B56" s="62" t="inlineStr">
        <is>
          <t>☐ Documented runbook tested   ☐ Documented, untested   ☐ Informal   ☐ None   ☐ Not applicable</t>
        </is>
      </c>
      <c r="C56" s="66" t="n"/>
      <c r="D56" s="87" t="inlineStr">
        <is>
          <t>What happens if vendor goes down or drops us?</t>
        </is>
      </c>
    </row>
    <row r="58" ht="15" customHeight="1" s="55">
      <c r="A58" s="80" t="inlineStr">
        <is>
          <t>Regulatory scope (check all that apply)</t>
        </is>
      </c>
    </row>
    <row r="59" ht="45.75" customHeight="1" s="55">
      <c r="A59" s="88" t="inlineStr">
        <is>
          <t>Frameworks in scope</t>
        </is>
      </c>
      <c r="B59" s="64" t="inlineStr">
        <is>
          <t>☐ SOC 2   ☐ ISO 42001   ☐ ISO 27001   ☐ NIST AI RMF   ☐ NIST CSF   ☐ EU AI Act   ☐ HIPAA   ☐ PCI DSS   ☐ GDPR   ☐ CCPA   ☐ Colorado AI Act   ☐ NYC AEDT   ☐ California AB 2013   ☐ FFIEC   ☐ NAIC   ☐ FedRAMP   ☐ Other</t>
        </is>
      </c>
      <c r="C59" s="65" t="n"/>
      <c r="D59" s="66" t="n"/>
    </row>
    <row r="60" ht="15" customHeight="1" s="55">
      <c r="A60" s="89" t="inlineStr">
        <is>
          <t xml:space="preserve">  Submit to Security team for review →</t>
        </is>
      </c>
    </row>
    <row r="62" ht="15" customHeight="1" s="55">
      <c r="A62" s="59" t="inlineStr">
        <is>
          <t>PART 2 — Security team completes</t>
        </is>
      </c>
    </row>
    <row r="63" ht="15" customHeight="1" s="55">
      <c r="A63" s="60" t="inlineStr">
        <is>
          <t>See Tool Function Mapping for risk factor reference. Score each of the 7 factors; highest sets overall risk.</t>
        </is>
      </c>
    </row>
    <row r="65" ht="15" customHeight="1" s="55">
      <c r="A65" s="61" t="inlineStr">
        <is>
          <t>Risk Factor</t>
        </is>
      </c>
      <c r="B65" s="61" t="inlineStr">
        <is>
          <t>Assessment</t>
        </is>
      </c>
      <c r="C65" s="61" t="n"/>
      <c r="D65" s="61" t="n"/>
    </row>
    <row r="66" ht="15" customHeight="1" s="55">
      <c r="A66" s="62" t="inlineStr">
        <is>
          <t>Data Sensitivity</t>
        </is>
      </c>
      <c r="B66" s="62" t="inlineStr">
        <is>
          <t>☐ Public   ☐ Internal   ☐ Confidential   ☐ PII / PHI / Regulated</t>
        </is>
      </c>
      <c r="C66" s="65" t="n"/>
      <c r="D66" s="66" t="n"/>
    </row>
    <row r="67" ht="15" customHeight="1" s="55">
      <c r="A67" s="62" t="inlineStr">
        <is>
          <t>Access Permissions</t>
        </is>
      </c>
      <c r="B67" s="62" t="inlineStr">
        <is>
          <t>☐ Read-only   ☐ Limited write   ☐ Full read/write   ☐ Admin / root</t>
        </is>
      </c>
      <c r="C67" s="65" t="n"/>
      <c r="D67" s="66" t="n"/>
    </row>
    <row r="68" ht="15" customHeight="1" s="55">
      <c r="A68" s="62" t="inlineStr">
        <is>
          <t>Integration Depth</t>
        </is>
      </c>
      <c r="B68" s="62" t="inlineStr">
        <is>
          <t>☐ Isolated   ☐ Limited API   ☐ Direct system   ☐ Privileged control</t>
        </is>
      </c>
      <c r="C68" s="65" t="n"/>
      <c r="D68" s="66" t="n"/>
    </row>
    <row r="69" ht="15" customHeight="1" s="55">
      <c r="A69" s="62" t="inlineStr">
        <is>
          <t>Action Reversibility</t>
        </is>
      </c>
      <c r="B69" s="62" t="inlineStr">
        <is>
          <t>☐ Read-only   ☐ Reversible   ☐ Hard to reverse   ☐ Irreversible</t>
        </is>
      </c>
      <c r="C69" s="65" t="n"/>
      <c r="D69" s="66" t="n"/>
    </row>
    <row r="70" ht="15" customHeight="1" s="55">
      <c r="A70" s="62" t="inlineStr">
        <is>
          <t>Data Persistence</t>
        </is>
      </c>
      <c r="B70" s="62" t="inlineStr">
        <is>
          <t>☐ None   ☐ Session only   ☐ Cached / stored   ☐ Vendor may train</t>
        </is>
      </c>
      <c r="C70" s="65" t="n"/>
      <c r="D70" s="66" t="n"/>
    </row>
    <row r="71" ht="15" customHeight="1" s="55">
      <c r="A71" s="62" t="inlineStr">
        <is>
          <t>External Access</t>
        </is>
      </c>
      <c r="B71" s="62" t="inlineStr">
        <is>
          <t>☐ None   ☐ Allowlisted   ☐ Broad internet   ☐ Unrestricted</t>
        </is>
      </c>
      <c r="C71" s="65" t="n"/>
      <c r="D71" s="66" t="n"/>
    </row>
    <row r="72" ht="15" customHeight="1" s="55">
      <c r="A72" s="62" t="inlineStr">
        <is>
          <t>Agent Autonomy</t>
        </is>
      </c>
      <c r="B72" s="62" t="inlineStr">
        <is>
          <t>☐ None   ☐ HITL for writes   ☐ Autonomous within allowlist   ☐ Fully autonomous</t>
        </is>
      </c>
      <c r="C72" s="65" t="n"/>
      <c r="D72" s="66" t="n"/>
    </row>
    <row r="73" ht="15" customHeight="1" s="55">
      <c r="A73" s="90" t="inlineStr">
        <is>
          <t>Overall Risk Level</t>
        </is>
      </c>
      <c r="B73" s="62" t="inlineStr">
        <is>
          <t>☐ Low      ☐ Medium      ☐ High      ☐ Severe</t>
        </is>
      </c>
      <c r="C73" s="65" t="n"/>
      <c r="D73" s="66" t="n"/>
    </row>
    <row r="75" ht="15" customHeight="1" s="55">
      <c r="A75" s="80" t="inlineStr">
        <is>
          <t>Required product families (check all that apply)</t>
        </is>
      </c>
    </row>
    <row r="76" ht="15" customHeight="1" s="55">
      <c r="A76" s="71" t="inlineStr">
        <is>
          <t>☐ AI Posture &amp; Governance</t>
        </is>
      </c>
      <c r="B76" s="62" t="inlineStr">
        <is>
          <t>Inventory, compliance, policy</t>
        </is>
      </c>
      <c r="C76" s="65" t="n"/>
      <c r="D76" s="66" t="n"/>
    </row>
    <row r="77" ht="15" customHeight="1" s="55">
      <c r="A77" s="72" t="inlineStr">
        <is>
          <t>☐ Runtime Protection &amp; Guardrails</t>
        </is>
      </c>
      <c r="B77" s="62" t="inlineStr">
        <is>
          <t>Input / output filtering, content safety, prompt injection</t>
        </is>
      </c>
      <c r="C77" s="65" t="n"/>
      <c r="D77" s="66" t="n"/>
    </row>
    <row r="78" ht="15" customHeight="1" s="55">
      <c r="A78" s="73" t="inlineStr">
        <is>
          <t>☐ Shadow AI &amp; Usage Discovery</t>
        </is>
      </c>
      <c r="B78" s="62" t="inlineStr">
        <is>
          <t>Visibility, usage tracking</t>
        </is>
      </c>
      <c r="C78" s="65" t="n"/>
      <c r="D78" s="66" t="n"/>
    </row>
    <row r="79" ht="15" customHeight="1" s="55">
      <c r="A79" s="74" t="inlineStr">
        <is>
          <t>☐ Observability &amp; Evaluation</t>
        </is>
      </c>
      <c r="B79" s="62" t="inlineStr">
        <is>
          <t>Logging, monitoring, alerting, evals</t>
        </is>
      </c>
      <c r="C79" s="65" t="n"/>
      <c r="D79" s="66" t="n"/>
    </row>
    <row r="80" ht="15" customHeight="1" s="55">
      <c r="A80" s="75" t="inlineStr">
        <is>
          <t>☐ Data Protection for AI</t>
        </is>
      </c>
      <c r="B80" s="62" t="inlineStr">
        <is>
          <t>DLP, PII, encryption, residency</t>
        </is>
      </c>
      <c r="C80" s="65" t="n"/>
      <c r="D80" s="66" t="n"/>
    </row>
    <row r="81" ht="15" customHeight="1" s="55">
      <c r="A81" s="76" t="inlineStr">
        <is>
          <t>☐ NHI &amp; Agentic Access</t>
        </is>
      </c>
      <c r="B81" s="62" t="inlineStr">
        <is>
          <t>Service accounts, secrets, agent auth, spawn limits</t>
        </is>
      </c>
      <c r="C81" s="65" t="n"/>
      <c r="D81" s="66" t="n"/>
    </row>
    <row r="82" ht="15" customHeight="1" s="55">
      <c r="A82" s="77" t="inlineStr">
        <is>
          <t>☐ AI Supply Chain</t>
        </is>
      </c>
      <c r="B82" s="62" t="inlineStr">
        <is>
          <t>Model provenance, pipeline security, MCP / plugin validation</t>
        </is>
      </c>
      <c r="C82" s="65" t="n"/>
      <c r="D82" s="66" t="n"/>
    </row>
    <row r="84" ht="15" customHeight="1" s="55">
      <c r="A84" s="59" t="inlineStr">
        <is>
          <t>Decision</t>
        </is>
      </c>
    </row>
    <row r="85" ht="15" customHeight="1" s="55">
      <c r="A85" s="86" t="inlineStr">
        <is>
          <t>Required guardrails (summary)</t>
        </is>
      </c>
      <c r="B85" s="62" t="inlineStr">
        <is>
          <t>(auto-filter Guardrail Checklist by risk + agentic)</t>
        </is>
      </c>
      <c r="C85" s="65" t="n"/>
      <c r="D85" s="66" t="n"/>
    </row>
    <row r="86" ht="15" customHeight="1" s="55">
      <c r="A86" s="86" t="inlineStr">
        <is>
          <t>Recommended products</t>
        </is>
      </c>
      <c r="B86" s="62" t="inlineStr">
        <is>
          <t>See AI Security Tool Landscape</t>
        </is>
      </c>
      <c r="C86" s="65" t="n"/>
      <c r="D86" s="66" t="n"/>
    </row>
    <row r="87" ht="15" customHeight="1" s="55">
      <c r="A87" s="86" t="inlineStr">
        <is>
          <t>Approval</t>
        </is>
      </c>
      <c r="B87" s="62" t="inlineStr">
        <is>
          <t>☐ Approved   ☐ Approved with conditions   ☐ Denied   ☐ Escalated to committee</t>
        </is>
      </c>
      <c r="C87" s="65" t="n"/>
      <c r="D87" s="66" t="n"/>
    </row>
    <row r="88" ht="15" customHeight="1" s="55">
      <c r="A88" s="86" t="inlineStr">
        <is>
          <t>Conditions (if any)</t>
        </is>
      </c>
      <c r="B88" s="62" t="n"/>
      <c r="C88" s="65" t="n"/>
      <c r="D88" s="66" t="n"/>
    </row>
    <row r="89" ht="15" customHeight="1" s="55">
      <c r="A89" s="86" t="inlineStr">
        <is>
          <t>Reviewer / Date</t>
        </is>
      </c>
      <c r="B89" s="62" t="n"/>
      <c r="C89" s="65" t="n"/>
      <c r="D89" s="66" t="n"/>
    </row>
    <row r="90" ht="15" customHeight="1" s="55">
      <c r="A90" s="86" t="inlineStr">
        <is>
          <t>Next review date</t>
        </is>
      </c>
      <c r="B90" s="62" t="n"/>
      <c r="C90" s="65" t="n"/>
      <c r="D90" s="66" t="n"/>
    </row>
    <row r="91" ht="15" customHeight="1" s="55">
      <c r="A91" s="86" t="inlineStr">
        <is>
          <t>Exception # (if Severe)</t>
        </is>
      </c>
      <c r="B91" s="62" t="n"/>
      <c r="C91" s="65" t="n"/>
      <c r="D91" s="66" t="n"/>
    </row>
  </sheetData>
  <mergeCells count="74">
    <mergeCell ref="B42:D42"/>
    <mergeCell ref="B47:C47"/>
    <mergeCell ref="B16:C16"/>
    <mergeCell ref="B54:C54"/>
    <mergeCell ref="B67:D67"/>
    <mergeCell ref="B25:C25"/>
    <mergeCell ref="A62:D62"/>
    <mergeCell ref="B46:C46"/>
    <mergeCell ref="B73:D73"/>
    <mergeCell ref="B22:C22"/>
    <mergeCell ref="B88:D88"/>
    <mergeCell ref="B82:D82"/>
    <mergeCell ref="B31:C31"/>
    <mergeCell ref="A63:D63"/>
    <mergeCell ref="B56:C56"/>
    <mergeCell ref="A10:D10"/>
    <mergeCell ref="B69:D69"/>
    <mergeCell ref="B78:D78"/>
    <mergeCell ref="B38:D38"/>
    <mergeCell ref="B87:D87"/>
    <mergeCell ref="B39:D39"/>
    <mergeCell ref="B12:C12"/>
    <mergeCell ref="B52:C52"/>
    <mergeCell ref="B21:C21"/>
    <mergeCell ref="B48:C48"/>
    <mergeCell ref="B37:D37"/>
    <mergeCell ref="A58:D58"/>
    <mergeCell ref="A34:D34"/>
    <mergeCell ref="B23:C23"/>
    <mergeCell ref="B40:D40"/>
    <mergeCell ref="B14:C14"/>
    <mergeCell ref="B68:D68"/>
    <mergeCell ref="A11:D11"/>
    <mergeCell ref="A60:D60"/>
    <mergeCell ref="B53:C53"/>
    <mergeCell ref="B13:C13"/>
    <mergeCell ref="A1:D1"/>
    <mergeCell ref="A45:D45"/>
    <mergeCell ref="B89:D89"/>
    <mergeCell ref="B36:D36"/>
    <mergeCell ref="B80:D80"/>
    <mergeCell ref="B29:C29"/>
    <mergeCell ref="B76:D76"/>
    <mergeCell ref="B41:D41"/>
    <mergeCell ref="B19:C19"/>
    <mergeCell ref="B79:D79"/>
    <mergeCell ref="B35:D35"/>
    <mergeCell ref="B85:D85"/>
    <mergeCell ref="B28:C28"/>
    <mergeCell ref="B91:D91"/>
    <mergeCell ref="B49:C49"/>
    <mergeCell ref="A84:D84"/>
    <mergeCell ref="B81:D81"/>
    <mergeCell ref="B55:C55"/>
    <mergeCell ref="B72:D72"/>
    <mergeCell ref="A18:D18"/>
    <mergeCell ref="B24:C24"/>
    <mergeCell ref="A27:D27"/>
    <mergeCell ref="B15:C15"/>
    <mergeCell ref="B30:C30"/>
    <mergeCell ref="B59:D59"/>
    <mergeCell ref="B66:D66"/>
    <mergeCell ref="A75:D75"/>
    <mergeCell ref="B51:C51"/>
    <mergeCell ref="B20:C20"/>
    <mergeCell ref="A3:D3"/>
    <mergeCell ref="B71:D71"/>
    <mergeCell ref="B32:C32"/>
    <mergeCell ref="B50:C50"/>
    <mergeCell ref="B70:D70"/>
    <mergeCell ref="B43:D43"/>
    <mergeCell ref="B77:D77"/>
    <mergeCell ref="B90:D90"/>
    <mergeCell ref="B86:D8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0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6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A1" activeCellId="0" sqref="A1"/>
    </sheetView>
  </sheetViews>
  <sheetFormatPr baseColWidth="8" defaultColWidth="8.83203125" defaultRowHeight="15" customHeight="0" zeroHeight="0" outlineLevelRow="0"/>
  <cols>
    <col width="20" customWidth="1" style="54" min="1" max="1"/>
    <col width="30" customWidth="1" style="54" min="2" max="2"/>
    <col width="10" customWidth="1" style="54" min="3" max="4"/>
    <col width="38" customWidth="1" style="54" min="5" max="7"/>
    <col width="6" customWidth="1" style="54" min="8" max="8"/>
    <col width="30" customWidth="1" style="54" min="9" max="9"/>
  </cols>
  <sheetData>
    <row r="1" ht="25.5" customHeight="1" s="55">
      <c r="A1" s="56" t="inlineStr">
        <is>
          <t>Guardrail Verification Checklist</t>
        </is>
      </c>
    </row>
    <row r="3" ht="31.5" customHeight="1" s="55">
      <c r="A3" s="60" t="inlineStr">
        <is>
          <t>In Scope: All = every risk | Med+ = Medium, High, Severe | High+ = High, Severe | Severe = Severe only. Agentic flag is orthogonal - any agentic deployment picks up all Agentic-flagged guardrails.</t>
        </is>
      </c>
    </row>
    <row r="4" ht="31.5" customHeight="1" s="55">
      <c r="A4" s="60" t="inlineStr">
        <is>
          <t>How to use: (1) get risk level from Intake Form → (2) match In-Scope tier → (3) if agentic, add Agentic-flagged rows → (4) verify each criterion → (5) collect the evidence artifact → (6) mark Pass/Fail and add notes.</t>
        </is>
      </c>
    </row>
    <row r="6" ht="18" customHeight="1" s="55">
      <c r="A6" s="59" t="inlineStr">
        <is>
          <t>Tool information</t>
        </is>
      </c>
    </row>
    <row r="7" ht="18" customHeight="1" s="55">
      <c r="A7" s="61" t="inlineStr">
        <is>
          <t>Tool name</t>
        </is>
      </c>
      <c r="B7" s="91" t="n"/>
      <c r="C7" s="65" t="n"/>
      <c r="D7" s="65" t="n"/>
      <c r="E7" s="65" t="n"/>
      <c r="F7" s="65" t="n"/>
      <c r="G7" s="65" t="n"/>
      <c r="H7" s="65" t="n"/>
      <c r="I7" s="66" t="n"/>
    </row>
    <row r="8" ht="18" customHeight="1" s="55">
      <c r="A8" s="61" t="inlineStr">
        <is>
          <t>Vendor</t>
        </is>
      </c>
      <c r="B8" s="91" t="n"/>
      <c r="C8" s="65" t="n"/>
      <c r="D8" s="65" t="n"/>
      <c r="E8" s="65" t="n"/>
      <c r="F8" s="65" t="n"/>
      <c r="G8" s="65" t="n"/>
      <c r="H8" s="65" t="n"/>
      <c r="I8" s="66" t="n"/>
    </row>
    <row r="9" ht="18" customHeight="1" s="55">
      <c r="A9" s="61" t="inlineStr">
        <is>
          <t>Risk level</t>
        </is>
      </c>
      <c r="B9" s="91" t="n"/>
      <c r="C9" s="65" t="n"/>
      <c r="D9" s="65" t="n"/>
      <c r="E9" s="65" t="n"/>
      <c r="F9" s="65" t="n"/>
      <c r="G9" s="65" t="n"/>
      <c r="H9" s="65" t="n"/>
      <c r="I9" s="66" t="n"/>
    </row>
    <row r="10" ht="18" customHeight="1" s="55">
      <c r="A10" s="61" t="inlineStr">
        <is>
          <t>Agentic?</t>
        </is>
      </c>
      <c r="B10" s="91" t="n"/>
      <c r="C10" s="65" t="n"/>
      <c r="D10" s="65" t="n"/>
      <c r="E10" s="65" t="n"/>
      <c r="F10" s="65" t="n"/>
      <c r="G10" s="65" t="n"/>
      <c r="H10" s="65" t="n"/>
      <c r="I10" s="66" t="n"/>
    </row>
    <row r="11" ht="18" customHeight="1" s="55">
      <c r="A11" s="61" t="inlineStr">
        <is>
          <t>Data classification</t>
        </is>
      </c>
      <c r="B11" s="91" t="n"/>
      <c r="C11" s="65" t="n"/>
      <c r="D11" s="65" t="n"/>
      <c r="E11" s="65" t="n"/>
      <c r="F11" s="65" t="n"/>
      <c r="G11" s="65" t="n"/>
      <c r="H11" s="65" t="n"/>
      <c r="I11" s="66" t="n"/>
    </row>
    <row r="12" ht="18" customHeight="1" s="55">
      <c r="A12" s="61" t="inlineStr">
        <is>
          <t>Reviewer</t>
        </is>
      </c>
      <c r="B12" s="91" t="n"/>
      <c r="C12" s="65" t="n"/>
      <c r="D12" s="65" t="n"/>
      <c r="E12" s="65" t="n"/>
      <c r="F12" s="65" t="n"/>
      <c r="G12" s="65" t="n"/>
      <c r="H12" s="65" t="n"/>
      <c r="I12" s="66" t="n"/>
    </row>
    <row r="13" ht="18" customHeight="1" s="55">
      <c r="A13" s="61" t="inlineStr">
        <is>
          <t>Date</t>
        </is>
      </c>
      <c r="B13" s="91" t="n"/>
      <c r="C13" s="65" t="n"/>
      <c r="D13" s="65" t="n"/>
      <c r="E13" s="65" t="n"/>
      <c r="F13" s="65" t="n"/>
      <c r="G13" s="65" t="n"/>
      <c r="H13" s="65" t="n"/>
      <c r="I13" s="66" t="n"/>
    </row>
    <row r="15" ht="18" customHeight="1" s="55">
      <c r="A15" s="59" t="inlineStr">
        <is>
          <t>Guardrail verification by family</t>
        </is>
      </c>
    </row>
    <row r="16" ht="31.5" customHeight="1" s="55">
      <c r="A16" s="61" t="inlineStr">
        <is>
          <t>Family</t>
        </is>
      </c>
      <c r="B16" s="61" t="inlineStr">
        <is>
          <t>Guardrail</t>
        </is>
      </c>
      <c r="C16" s="61" t="inlineStr">
        <is>
          <t>In Scope</t>
        </is>
      </c>
      <c r="D16" s="61" t="inlineStr">
        <is>
          <t>Agentic?</t>
        </is>
      </c>
      <c r="E16" s="61" t="inlineStr">
        <is>
          <t>Verification Criteria</t>
        </is>
      </c>
      <c r="F16" s="61" t="inlineStr">
        <is>
          <t>Evidence Artifact</t>
        </is>
      </c>
      <c r="G16" s="92" t="inlineStr">
        <is>
          <t>Pass</t>
        </is>
      </c>
      <c r="H16" s="92" t="inlineStr">
        <is>
          <t>Fail</t>
        </is>
      </c>
      <c r="I16" s="61" t="inlineStr">
        <is>
          <t>Notes / Evidence Link</t>
        </is>
      </c>
    </row>
    <row r="17" ht="18" customHeight="1" s="55">
      <c r="A17" s="93" t="inlineStr">
        <is>
          <t>☐ AI POSTURE &amp; GOVERNANCE</t>
        </is>
      </c>
    </row>
    <row r="18" ht="87.75" customHeight="1" s="55">
      <c r="A18" s="71" t="inlineStr">
        <is>
          <t>AI POSTURE &amp; GOVERNANCE</t>
        </is>
      </c>
      <c r="B18" s="62" t="inlineStr">
        <is>
          <t>Tool Registration</t>
        </is>
      </c>
      <c r="C18" s="62" t="inlineStr">
        <is>
          <t>All</t>
        </is>
      </c>
      <c r="D18" s="62" t="inlineStr">
        <is>
          <t>No</t>
        </is>
      </c>
      <c r="E18" s="62" t="inlineStr">
        <is>
          <t>Tool appears in Tool Registry with all required fields populated</t>
        </is>
      </c>
      <c r="F18" s="62" t="inlineStr">
        <is>
          <t>Tool Registry - entry with tool, vendor, risk, owner, status - exported</t>
        </is>
      </c>
      <c r="G18" s="94" t="inlineStr">
        <is>
          <t>☐</t>
        </is>
      </c>
      <c r="H18" s="94" t="inlineStr">
        <is>
          <t>☐</t>
        </is>
      </c>
      <c r="I18" s="62" t="n"/>
    </row>
    <row r="19" ht="87.75" customHeight="1" s="55">
      <c r="A19" s="71" t="inlineStr">
        <is>
          <t>AI POSTURE &amp; GOVERNANCE</t>
        </is>
      </c>
      <c r="B19" s="62" t="inlineStr">
        <is>
          <t>Risk Classification</t>
        </is>
      </c>
      <c r="C19" s="62" t="inlineStr">
        <is>
          <t>All</t>
        </is>
      </c>
      <c r="D19" s="62" t="inlineStr">
        <is>
          <t>No</t>
        </is>
      </c>
      <c r="E19" s="62" t="inlineStr">
        <is>
          <t>Intake Form Part 2 completed with risk scores across all 7 factors</t>
        </is>
      </c>
      <c r="F19" s="62" t="inlineStr">
        <is>
          <t>Intake Form - risk-factor assessment with overall risk level - archived</t>
        </is>
      </c>
      <c r="G19" s="94" t="inlineStr">
        <is>
          <t>☐</t>
        </is>
      </c>
      <c r="H19" s="94" t="inlineStr">
        <is>
          <t>☐</t>
        </is>
      </c>
      <c r="I19" s="62" t="n"/>
    </row>
    <row r="20" ht="73.5" customHeight="1" s="55">
      <c r="A20" s="71" t="inlineStr">
        <is>
          <t>AI POSTURE &amp; GOVERNANCE</t>
        </is>
      </c>
      <c r="B20" s="62" t="inlineStr">
        <is>
          <t>Approval Obtained</t>
        </is>
      </c>
      <c r="C20" s="62" t="inlineStr">
        <is>
          <t>All</t>
        </is>
      </c>
      <c r="D20" s="62" t="inlineStr">
        <is>
          <t>No</t>
        </is>
      </c>
      <c r="E20" s="62" t="inlineStr">
        <is>
          <t>Approval documented at the risk-appropriate level (standard / dept / committee / exception)</t>
        </is>
      </c>
      <c r="F20" s="62" t="inlineStr">
        <is>
          <t>Ticket system - approval email or workflow record - linked in Registry</t>
        </is>
      </c>
      <c r="G20" s="94" t="inlineStr">
        <is>
          <t>☐</t>
        </is>
      </c>
      <c r="H20" s="94" t="inlineStr">
        <is>
          <t>☐</t>
        </is>
      </c>
      <c r="I20" s="62" t="n"/>
    </row>
    <row r="21" ht="87.75" customHeight="1" s="55">
      <c r="A21" s="71" t="inlineStr">
        <is>
          <t>AI POSTURE &amp; GOVERNANCE</t>
        </is>
      </c>
      <c r="B21" s="62" t="inlineStr">
        <is>
          <t>Policy Alignment</t>
        </is>
      </c>
      <c r="C21" s="62" t="inlineStr">
        <is>
          <t>All</t>
        </is>
      </c>
      <c r="D21" s="62" t="inlineStr">
        <is>
          <t>No</t>
        </is>
      </c>
      <c r="E21" s="62" t="inlineStr">
        <is>
          <t>Tool use aligns with organizational AI policy and acceptable-use policy</t>
        </is>
      </c>
      <c r="F21" s="62" t="inlineStr">
        <is>
          <t>Policy mgmt system - signed acknowledgment from tool owner - retained 3y</t>
        </is>
      </c>
      <c r="G21" s="94" t="inlineStr">
        <is>
          <t>☐</t>
        </is>
      </c>
      <c r="H21" s="94" t="inlineStr">
        <is>
          <t>☐</t>
        </is>
      </c>
      <c r="I21" s="62" t="n"/>
    </row>
    <row r="22" ht="73.5" customHeight="1" s="55">
      <c r="A22" s="71" t="inlineStr">
        <is>
          <t>AI POSTURE &amp; GOVERNANCE</t>
        </is>
      </c>
      <c r="B22" s="62" t="inlineStr">
        <is>
          <t>Owner Assignment</t>
        </is>
      </c>
      <c r="C22" s="62" t="inlineStr">
        <is>
          <t>All</t>
        </is>
      </c>
      <c r="D22" s="62" t="inlineStr">
        <is>
          <t>No</t>
        </is>
      </c>
      <c r="E22" s="62" t="inlineStr">
        <is>
          <t>Business owner AND technical owner assigned and documented</t>
        </is>
      </c>
      <c r="F22" s="62" t="inlineStr">
        <is>
          <t>Tool Registry - Business Owner + Technical Owner fields populated</t>
        </is>
      </c>
      <c r="G22" s="94" t="inlineStr">
        <is>
          <t>☐</t>
        </is>
      </c>
      <c r="H22" s="94" t="inlineStr">
        <is>
          <t>☐</t>
        </is>
      </c>
      <c r="I22" s="62" t="n"/>
    </row>
    <row r="23" ht="87.75" customHeight="1" s="55">
      <c r="A23" s="71" t="inlineStr">
        <is>
          <t>AI POSTURE &amp; GOVERNANCE</t>
        </is>
      </c>
      <c r="B23" s="62" t="inlineStr">
        <is>
          <t>Vendor Assessment</t>
        </is>
      </c>
      <c r="C23" s="62" t="inlineStr">
        <is>
          <t>Med+</t>
        </is>
      </c>
      <c r="D23" s="62" t="inlineStr">
        <is>
          <t>No</t>
        </is>
      </c>
      <c r="E23" s="62" t="inlineStr">
        <is>
          <t>Third-party vendor security posture assessed; SOC 2 / ISO 27001 or equivalent reviewed</t>
        </is>
      </c>
      <c r="F23" s="62" t="inlineStr">
        <is>
          <t>Vendor risk system - SOC 2 Type II (&lt; 12 mo), DPA, security questionnaire</t>
        </is>
      </c>
      <c r="G23" s="94" t="inlineStr">
        <is>
          <t>☐</t>
        </is>
      </c>
      <c r="H23" s="94" t="inlineStr">
        <is>
          <t>☐</t>
        </is>
      </c>
      <c r="I23" s="62" t="n"/>
    </row>
    <row r="24" ht="73.5" customHeight="1" s="55">
      <c r="A24" s="71" t="inlineStr">
        <is>
          <t>AI POSTURE &amp; GOVERNANCE</t>
        </is>
      </c>
      <c r="B24" s="62" t="inlineStr">
        <is>
          <t>Compliance Mapping</t>
        </is>
      </c>
      <c r="C24" s="62" t="inlineStr">
        <is>
          <t>High+</t>
        </is>
      </c>
      <c r="D24" s="62" t="inlineStr">
        <is>
          <t>No</t>
        </is>
      </c>
      <c r="E24" s="62" t="inlineStr">
        <is>
          <t>Tool mapped to applicable regulatory frameworks (see Compliance Mapping tab)</t>
        </is>
      </c>
      <c r="F24" s="62" t="inlineStr">
        <is>
          <t>Compliance Mapping - completed framework mapping - stored in GRC</t>
        </is>
      </c>
      <c r="G24" s="94" t="inlineStr">
        <is>
          <t>☐</t>
        </is>
      </c>
      <c r="H24" s="94" t="inlineStr">
        <is>
          <t>☐</t>
        </is>
      </c>
      <c r="I24" s="62" t="n"/>
    </row>
    <row r="25" ht="87.75" customHeight="1" s="55">
      <c r="A25" s="71" t="inlineStr">
        <is>
          <t>AI POSTURE &amp; GOVERNANCE</t>
        </is>
      </c>
      <c r="B25" s="62" t="inlineStr">
        <is>
          <t>Data Residency Review</t>
        </is>
      </c>
      <c r="C25" s="62" t="inlineStr">
        <is>
          <t>High+</t>
        </is>
      </c>
      <c r="D25" s="62" t="inlineStr">
        <is>
          <t>No</t>
        </is>
      </c>
      <c r="E25" s="62" t="inlineStr">
        <is>
          <t>Data processing regions verified against residency requirements</t>
        </is>
      </c>
      <c r="F25" s="62" t="inlineStr">
        <is>
          <t>Vendor DPA - region attestation - cross-referenced with reg requirements</t>
        </is>
      </c>
      <c r="G25" s="94" t="inlineStr">
        <is>
          <t>☐</t>
        </is>
      </c>
      <c r="H25" s="94" t="inlineStr">
        <is>
          <t>☐</t>
        </is>
      </c>
      <c r="I25" s="62" t="n"/>
    </row>
    <row r="26" ht="18" customHeight="1" s="55">
      <c r="A26" s="95" t="inlineStr">
        <is>
          <t>☐ RUNTIME PROTECTION</t>
        </is>
      </c>
    </row>
    <row r="27" ht="87.75" customHeight="1" s="55">
      <c r="A27" s="72" t="inlineStr">
        <is>
          <t>RUNTIME PROTECTION</t>
        </is>
      </c>
      <c r="B27" s="62" t="inlineStr">
        <is>
          <t>Input Validation</t>
        </is>
      </c>
      <c r="C27" s="62" t="inlineStr">
        <is>
          <t>Med+</t>
        </is>
      </c>
      <c r="D27" s="62" t="inlineStr">
        <is>
          <t>No</t>
        </is>
      </c>
      <c r="E27" s="62" t="inlineStr">
        <is>
          <t>Prompt injection detection active on all user-supplied input</t>
        </is>
      </c>
      <c r="F27" s="62" t="inlineStr">
        <is>
          <t>Runtime product config - injection detection enabled + block sample log</t>
        </is>
      </c>
      <c r="G27" s="94" t="inlineStr">
        <is>
          <t>☐</t>
        </is>
      </c>
      <c r="H27" s="94" t="inlineStr">
        <is>
          <t>☐</t>
        </is>
      </c>
      <c r="I27" s="62" t="n"/>
    </row>
    <row r="28" ht="73.5" customHeight="1" s="55">
      <c r="A28" s="72" t="inlineStr">
        <is>
          <t>RUNTIME PROTECTION</t>
        </is>
      </c>
      <c r="B28" s="62" t="inlineStr">
        <is>
          <t>Output Filtering</t>
        </is>
      </c>
      <c r="C28" s="62" t="inlineStr">
        <is>
          <t>Med+</t>
        </is>
      </c>
      <c r="D28" s="62" t="inlineStr">
        <is>
          <t>No</t>
        </is>
      </c>
      <c r="E28" s="62" t="inlineStr">
        <is>
          <t>Content filtering and PII redaction on model outputs</t>
        </is>
      </c>
      <c r="F28" s="62" t="inlineStr">
        <is>
          <t>Runtime product config - filter rules + sample blocked response log</t>
        </is>
      </c>
      <c r="G28" s="94" t="inlineStr">
        <is>
          <t>☐</t>
        </is>
      </c>
      <c r="H28" s="94" t="inlineStr">
        <is>
          <t>☐</t>
        </is>
      </c>
      <c r="I28" s="62" t="n"/>
    </row>
    <row r="29" ht="73.5" customHeight="1" s="55">
      <c r="A29" s="72" t="inlineStr">
        <is>
          <t>RUNTIME PROTECTION</t>
        </is>
      </c>
      <c r="B29" s="62" t="inlineStr">
        <is>
          <t>Rate Limiting (per user)</t>
        </is>
      </c>
      <c r="C29" s="62" t="inlineStr">
        <is>
          <t>Med+</t>
        </is>
      </c>
      <c r="D29" s="62" t="inlineStr">
        <is>
          <t>No</t>
        </is>
      </c>
      <c r="E29" s="62" t="inlineStr">
        <is>
          <t>Per-user API / usage rate limits configured</t>
        </is>
      </c>
      <c r="F29" s="62" t="inlineStr">
        <is>
          <t>API gateway config - per-user limit values (requests / min / tokens)</t>
        </is>
      </c>
      <c r="G29" s="94" t="inlineStr">
        <is>
          <t>☐</t>
        </is>
      </c>
      <c r="H29" s="94" t="inlineStr">
        <is>
          <t>☐</t>
        </is>
      </c>
      <c r="I29" s="62" t="n"/>
    </row>
    <row r="30" ht="73.5" customHeight="1" s="55">
      <c r="A30" s="72" t="inlineStr">
        <is>
          <t>RUNTIME PROTECTION</t>
        </is>
      </c>
      <c r="B30" s="62" t="inlineStr">
        <is>
          <t>Rate Limiting (per workload)</t>
        </is>
      </c>
      <c r="C30" s="62" t="inlineStr">
        <is>
          <t>High+</t>
        </is>
      </c>
      <c r="D30" s="78" t="inlineStr">
        <is>
          <t>Yes</t>
        </is>
      </c>
      <c r="E30" s="62" t="inlineStr">
        <is>
          <t>Per-workload / per-agent rate + cost ceilings to prevent runaway tasks</t>
        </is>
      </c>
      <c r="F30" s="62" t="inlineStr">
        <is>
          <t>Gateway config - per-workload quota + cost-abuse alert rule</t>
        </is>
      </c>
      <c r="G30" s="94" t="inlineStr">
        <is>
          <t>☐</t>
        </is>
      </c>
      <c r="H30" s="94" t="inlineStr">
        <is>
          <t>☐</t>
        </is>
      </c>
      <c r="I30" s="62" t="n"/>
    </row>
    <row r="31" ht="73.5" customHeight="1" s="55">
      <c r="A31" s="72" t="inlineStr">
        <is>
          <t>RUNTIME PROTECTION</t>
        </is>
      </c>
      <c r="B31" s="62" t="inlineStr">
        <is>
          <t>Content Safety</t>
        </is>
      </c>
      <c r="C31" s="62" t="inlineStr">
        <is>
          <t>Med+</t>
        </is>
      </c>
      <c r="D31" s="62" t="inlineStr">
        <is>
          <t>No</t>
        </is>
      </c>
      <c r="E31" s="62" t="inlineStr">
        <is>
          <t>Harmful content detection and blocking (prompt + response)</t>
        </is>
      </c>
      <c r="F31" s="62" t="inlineStr">
        <is>
          <t>Content Safety config - rules enabled + sample detection log</t>
        </is>
      </c>
      <c r="G31" s="94" t="inlineStr">
        <is>
          <t>☐</t>
        </is>
      </c>
      <c r="H31" s="94" t="inlineStr">
        <is>
          <t>☐</t>
        </is>
      </c>
      <c r="I31" s="62" t="n"/>
    </row>
    <row r="32" ht="87.75" customHeight="1" s="55">
      <c r="A32" s="72" t="inlineStr">
        <is>
          <t>RUNTIME PROTECTION</t>
        </is>
      </c>
      <c r="B32" s="62" t="inlineStr">
        <is>
          <t>Multi-Modal Input Validation</t>
        </is>
      </c>
      <c r="C32" s="62" t="inlineStr">
        <is>
          <t>High+</t>
        </is>
      </c>
      <c r="D32" s="62" t="inlineStr">
        <is>
          <t>No</t>
        </is>
      </c>
      <c r="E32" s="62" t="inlineStr">
        <is>
          <t>Image / audio / video inputs scanned for embedded prompt injection</t>
        </is>
      </c>
      <c r="F32" s="62" t="inlineStr">
        <is>
          <t>Runtime product config - multi-modal scanner enabled + sample block log</t>
        </is>
      </c>
      <c r="G32" s="94" t="inlineStr">
        <is>
          <t>☐</t>
        </is>
      </c>
      <c r="H32" s="94" t="inlineStr">
        <is>
          <t>☐</t>
        </is>
      </c>
      <c r="I32" s="62" t="n"/>
    </row>
    <row r="33" ht="87.75" customHeight="1" s="55">
      <c r="A33" s="72" t="inlineStr">
        <is>
          <t>RUNTIME PROTECTION</t>
        </is>
      </c>
      <c r="B33" s="62" t="inlineStr">
        <is>
          <t>Domain Restrictions (egress)</t>
        </is>
      </c>
      <c r="C33" s="62" t="inlineStr">
        <is>
          <t>High+</t>
        </is>
      </c>
      <c r="D33" s="78" t="inlineStr">
        <is>
          <t>Yes</t>
        </is>
      </c>
      <c r="E33" s="62" t="inlineStr">
        <is>
          <t>Network egress restricted to allowlisted domains</t>
        </is>
      </c>
      <c r="F33" s="62" t="inlineStr">
        <is>
          <t>Firewall / proxy config - allowlist + deny rule + sample blocked request</t>
        </is>
      </c>
      <c r="G33" s="94" t="inlineStr">
        <is>
          <t>☐</t>
        </is>
      </c>
      <c r="H33" s="94" t="inlineStr">
        <is>
          <t>☐</t>
        </is>
      </c>
      <c r="I33" s="62" t="n"/>
    </row>
    <row r="34" ht="87.75" customHeight="1" s="55">
      <c r="A34" s="72" t="inlineStr">
        <is>
          <t>RUNTIME PROTECTION</t>
        </is>
      </c>
      <c r="B34" s="62" t="inlineStr">
        <is>
          <t>Prompt Cache Isolation</t>
        </is>
      </c>
      <c r="C34" s="62" t="inlineStr">
        <is>
          <t>Med+</t>
        </is>
      </c>
      <c r="D34" s="62" t="inlineStr">
        <is>
          <t>No</t>
        </is>
      </c>
      <c r="E34" s="62" t="inlineStr">
        <is>
          <t>Prompt caches isolated per user / tenant; TTL bounded</t>
        </is>
      </c>
      <c r="F34" s="62" t="inlineStr">
        <is>
          <t>Cache config - per-user partition + TTL setting + no-cross-tenant policy</t>
        </is>
      </c>
      <c r="G34" s="94" t="inlineStr">
        <is>
          <t>☐</t>
        </is>
      </c>
      <c r="H34" s="94" t="inlineStr">
        <is>
          <t>☐</t>
        </is>
      </c>
      <c r="I34" s="62" t="n"/>
    </row>
    <row r="35" ht="73.5" customHeight="1" s="55">
      <c r="A35" s="72" t="inlineStr">
        <is>
          <t>RUNTIME PROTECTION</t>
        </is>
      </c>
      <c r="B35" s="62" t="inlineStr">
        <is>
          <t>Fallback / Graceful Degradation</t>
        </is>
      </c>
      <c r="C35" s="62" t="inlineStr">
        <is>
          <t>High+</t>
        </is>
      </c>
      <c r="D35" s="62" t="inlineStr">
        <is>
          <t>No</t>
        </is>
      </c>
      <c r="E35" s="62" t="inlineStr">
        <is>
          <t>Defined behavior when guardrails fail (block, warn, log, route to human)</t>
        </is>
      </c>
      <c r="F35" s="62" t="inlineStr">
        <is>
          <t>Runbook - fallback decision tree + test results for each failure mode</t>
        </is>
      </c>
      <c r="G35" s="94" t="inlineStr">
        <is>
          <t>☐</t>
        </is>
      </c>
      <c r="H35" s="94" t="inlineStr">
        <is>
          <t>☐</t>
        </is>
      </c>
      <c r="I35" s="62" t="n"/>
    </row>
    <row r="36" ht="18" customHeight="1" s="55">
      <c r="A36" s="96" t="inlineStr">
        <is>
          <t>☐ SHADOW AI &amp; DISCOVERY</t>
        </is>
      </c>
    </row>
    <row r="37" ht="60" customHeight="1" s="55">
      <c r="A37" s="73" t="inlineStr">
        <is>
          <t>SHADOW AI &amp; DISCOVERY</t>
        </is>
      </c>
      <c r="B37" s="62" t="inlineStr">
        <is>
          <t>Tool Visibility</t>
        </is>
      </c>
      <c r="C37" s="62" t="inlineStr">
        <is>
          <t>All</t>
        </is>
      </c>
      <c r="D37" s="62" t="inlineStr">
        <is>
          <t>No</t>
        </is>
      </c>
      <c r="E37" s="62" t="inlineStr">
        <is>
          <t>Tool appears in shadow AI discovery platform</t>
        </is>
      </c>
      <c r="F37" s="62" t="inlineStr">
        <is>
          <t>Discovery platform - tool listed in monitored inventory</t>
        </is>
      </c>
      <c r="G37" s="94" t="inlineStr">
        <is>
          <t>☐</t>
        </is>
      </c>
      <c r="H37" s="94" t="inlineStr">
        <is>
          <t>☐</t>
        </is>
      </c>
      <c r="I37" s="62" t="n"/>
    </row>
    <row r="38" ht="73.5" customHeight="1" s="55">
      <c r="A38" s="73" t="inlineStr">
        <is>
          <t>SHADOW AI &amp; DISCOVERY</t>
        </is>
      </c>
      <c r="B38" s="62" t="inlineStr">
        <is>
          <t>Sanctioned Status</t>
        </is>
      </c>
      <c r="C38" s="62" t="inlineStr">
        <is>
          <t>All</t>
        </is>
      </c>
      <c r="D38" s="62" t="inlineStr">
        <is>
          <t>No</t>
        </is>
      </c>
      <c r="E38" s="62" t="inlineStr">
        <is>
          <t>Tool marked as sanctioned / approved in discovery platform</t>
        </is>
      </c>
      <c r="F38" s="62" t="inlineStr">
        <is>
          <t>Discovery platform - tool status = Sanctioned or Approved</t>
        </is>
      </c>
      <c r="G38" s="94" t="inlineStr">
        <is>
          <t>☐</t>
        </is>
      </c>
      <c r="H38" s="94" t="inlineStr">
        <is>
          <t>☐</t>
        </is>
      </c>
      <c r="I38" s="62" t="n"/>
    </row>
    <row r="39" ht="73.5" customHeight="1" s="55">
      <c r="A39" s="73" t="inlineStr">
        <is>
          <t>SHADOW AI &amp; DISCOVERY</t>
        </is>
      </c>
      <c r="B39" s="62" t="inlineStr">
        <is>
          <t>User Access Tracked</t>
        </is>
      </c>
      <c r="C39" s="62" t="inlineStr">
        <is>
          <t>Med+</t>
        </is>
      </c>
      <c r="D39" s="62" t="inlineStr">
        <is>
          <t>No</t>
        </is>
      </c>
      <c r="E39" s="62" t="inlineStr">
        <is>
          <t>User access to tool is logged (who, when, what)</t>
        </is>
      </c>
      <c r="F39" s="62" t="inlineStr">
        <is>
          <t>Access log export - user, timestamp, action for a sample week</t>
        </is>
      </c>
      <c r="G39" s="94" t="inlineStr">
        <is>
          <t>☐</t>
        </is>
      </c>
      <c r="H39" s="94" t="inlineStr">
        <is>
          <t>☐</t>
        </is>
      </c>
      <c r="I39" s="62" t="n"/>
    </row>
    <row r="40" ht="73.5" customHeight="1" s="55">
      <c r="A40" s="73" t="inlineStr">
        <is>
          <t>SHADOW AI &amp; DISCOVERY</t>
        </is>
      </c>
      <c r="B40" s="62" t="inlineStr">
        <is>
          <t>Usage Analytics</t>
        </is>
      </c>
      <c r="C40" s="62" t="inlineStr">
        <is>
          <t>Med+</t>
        </is>
      </c>
      <c r="D40" s="62" t="inlineStr">
        <is>
          <t>No</t>
        </is>
      </c>
      <c r="E40" s="62" t="inlineStr">
        <is>
          <t>Usage patterns, costs, and anomalies monitored</t>
        </is>
      </c>
      <c r="F40" s="62" t="inlineStr">
        <is>
          <t>Dashboard - usage trend + cost + anomaly alert screenshots</t>
        </is>
      </c>
      <c r="G40" s="94" t="inlineStr">
        <is>
          <t>☐</t>
        </is>
      </c>
      <c r="H40" s="94" t="inlineStr">
        <is>
          <t>☐</t>
        </is>
      </c>
      <c r="I40" s="62" t="n"/>
    </row>
    <row r="41" ht="73.5" customHeight="1" s="55">
      <c r="A41" s="73" t="inlineStr">
        <is>
          <t>SHADOW AI &amp; DISCOVERY</t>
        </is>
      </c>
      <c r="B41" s="62" t="inlineStr">
        <is>
          <t>Personal-Account Blocking</t>
        </is>
      </c>
      <c r="C41" s="62" t="inlineStr">
        <is>
          <t>Med+</t>
        </is>
      </c>
      <c r="D41" s="62" t="inlineStr">
        <is>
          <t>No</t>
        </is>
      </c>
      <c r="E41" s="62" t="inlineStr">
        <is>
          <t>Corp egress blocks personal accounts of sanctioned AI tools</t>
        </is>
      </c>
      <c r="F41" s="62" t="inlineStr">
        <is>
          <t>CASB / proxy config - personal-account block rule + detection sample</t>
        </is>
      </c>
      <c r="G41" s="94" t="inlineStr">
        <is>
          <t>☐</t>
        </is>
      </c>
      <c r="H41" s="94" t="inlineStr">
        <is>
          <t>☐</t>
        </is>
      </c>
      <c r="I41" s="62" t="n"/>
    </row>
    <row r="42" ht="18" customHeight="1" s="55">
      <c r="A42" s="97" t="inlineStr">
        <is>
          <t>☐ OBSERVABILITY &amp; EVALUATION</t>
        </is>
      </c>
    </row>
    <row r="43" ht="73.5" customHeight="1" s="55">
      <c r="A43" s="74" t="inlineStr">
        <is>
          <t>OBSERVABILITY &amp; EVALUATION</t>
        </is>
      </c>
      <c r="B43" s="62" t="inlineStr">
        <is>
          <t>Audit Logging</t>
        </is>
      </c>
      <c r="C43" s="62" t="inlineStr">
        <is>
          <t>Med+</t>
        </is>
      </c>
      <c r="D43" s="62" t="inlineStr">
        <is>
          <t>No</t>
        </is>
      </c>
      <c r="E43" s="62" t="inlineStr">
        <is>
          <t>All prompts and responses logged with metadata</t>
        </is>
      </c>
      <c r="F43" s="62" t="inlineStr">
        <is>
          <t>Log sample - request ID, user, timestamp, prompt hash, response status</t>
        </is>
      </c>
      <c r="G43" s="94" t="inlineStr">
        <is>
          <t>☐</t>
        </is>
      </c>
      <c r="H43" s="94" t="inlineStr">
        <is>
          <t>☐</t>
        </is>
      </c>
      <c r="I43" s="62" t="n"/>
    </row>
    <row r="44" ht="73.5" customHeight="1" s="55">
      <c r="A44" s="74" t="inlineStr">
        <is>
          <t>OBSERVABILITY &amp; EVALUATION</t>
        </is>
      </c>
      <c r="B44" s="62" t="inlineStr">
        <is>
          <t>Log Retention</t>
        </is>
      </c>
      <c r="C44" s="62" t="inlineStr">
        <is>
          <t>Med+</t>
        </is>
      </c>
      <c r="D44" s="62" t="inlineStr">
        <is>
          <t>No</t>
        </is>
      </c>
      <c r="E44" s="62" t="inlineStr">
        <is>
          <t>Logs retained per policy (minimum 13 months for regulated data)</t>
        </is>
      </c>
      <c r="F44" s="62" t="inlineStr">
        <is>
          <t>Retention config - days retained + storage location + tier</t>
        </is>
      </c>
      <c r="G44" s="94" t="inlineStr">
        <is>
          <t>☐</t>
        </is>
      </c>
      <c r="H44" s="94" t="inlineStr">
        <is>
          <t>☐</t>
        </is>
      </c>
      <c r="I44" s="62" t="n"/>
    </row>
    <row r="45" ht="73.5" customHeight="1" s="55">
      <c r="A45" s="74" t="inlineStr">
        <is>
          <t>OBSERVABILITY &amp; EVALUATION</t>
        </is>
      </c>
      <c r="B45" s="62" t="inlineStr">
        <is>
          <t>SIEM Integration</t>
        </is>
      </c>
      <c r="C45" s="62" t="inlineStr">
        <is>
          <t>High+</t>
        </is>
      </c>
      <c r="D45" s="62" t="inlineStr">
        <is>
          <t>No</t>
        </is>
      </c>
      <c r="E45" s="62" t="inlineStr">
        <is>
          <t>AI tool logs forwarded to SIEM with AI-specific correlation rules</t>
        </is>
      </c>
      <c r="F45" s="62" t="inlineStr">
        <is>
          <t>SIEM - log source active + at least one AI-specific detection rule</t>
        </is>
      </c>
      <c r="G45" s="94" t="inlineStr">
        <is>
          <t>☐</t>
        </is>
      </c>
      <c r="H45" s="94" t="inlineStr">
        <is>
          <t>☐</t>
        </is>
      </c>
      <c r="I45" s="62" t="n"/>
    </row>
    <row r="46" ht="60" customHeight="1" s="55">
      <c r="A46" s="74" t="inlineStr">
        <is>
          <t>OBSERVABILITY &amp; EVALUATION</t>
        </is>
      </c>
      <c r="B46" s="62" t="inlineStr">
        <is>
          <t>Alerting Configured</t>
        </is>
      </c>
      <c r="C46" s="62" t="inlineStr">
        <is>
          <t>Med+</t>
        </is>
      </c>
      <c r="D46" s="62" t="inlineStr">
        <is>
          <t>No</t>
        </is>
      </c>
      <c r="E46" s="62" t="inlineStr">
        <is>
          <t>Alerts for anomalies, policy violations, cost spikes</t>
        </is>
      </c>
      <c r="F46" s="62" t="inlineStr">
        <is>
          <t>Alert rule config + sample alert notification</t>
        </is>
      </c>
      <c r="G46" s="94" t="inlineStr">
        <is>
          <t>☐</t>
        </is>
      </c>
      <c r="H46" s="94" t="inlineStr">
        <is>
          <t>☐</t>
        </is>
      </c>
      <c r="I46" s="62" t="n"/>
    </row>
    <row r="47" ht="73.5" customHeight="1" s="55">
      <c r="A47" s="74" t="inlineStr">
        <is>
          <t>OBSERVABILITY &amp; EVALUATION</t>
        </is>
      </c>
      <c r="B47" s="62" t="inlineStr">
        <is>
          <t>Performance / Drift Monitoring</t>
        </is>
      </c>
      <c r="C47" s="62" t="inlineStr">
        <is>
          <t>Med+</t>
        </is>
      </c>
      <c r="D47" s="62" t="inlineStr">
        <is>
          <t>No</t>
        </is>
      </c>
      <c r="E47" s="62" t="inlineStr">
        <is>
          <t>Model performance, drift, hallucination rate, latency monitored</t>
        </is>
      </c>
      <c r="F47" s="62" t="inlineStr">
        <is>
          <t>Dashboard - latency, error, drift, hallucination-score trends</t>
        </is>
      </c>
      <c r="G47" s="94" t="inlineStr">
        <is>
          <t>☐</t>
        </is>
      </c>
      <c r="H47" s="94" t="inlineStr">
        <is>
          <t>☐</t>
        </is>
      </c>
      <c r="I47" s="62" t="n"/>
    </row>
    <row r="48" ht="73.5" customHeight="1" s="55">
      <c r="A48" s="74" t="inlineStr">
        <is>
          <t>OBSERVABILITY &amp; EVALUATION</t>
        </is>
      </c>
      <c r="B48" s="62" t="inlineStr">
        <is>
          <t>Red Team / Adversarial Testing</t>
        </is>
      </c>
      <c r="C48" s="62" t="inlineStr">
        <is>
          <t>High+</t>
        </is>
      </c>
      <c r="D48" s="78" t="inlineStr">
        <is>
          <t>Yes</t>
        </is>
      </c>
      <c r="E48" s="62" t="inlineStr">
        <is>
          <t>Scheduled adversarial testing against a current attack corpus</t>
        </is>
      </c>
      <c r="F48" s="62" t="inlineStr">
        <is>
          <t>Red-team report - most recent run date + findings + remediation status</t>
        </is>
      </c>
      <c r="G48" s="94" t="inlineStr">
        <is>
          <t>☐</t>
        </is>
      </c>
      <c r="H48" s="94" t="inlineStr">
        <is>
          <t>☐</t>
        </is>
      </c>
      <c r="I48" s="62" t="n"/>
    </row>
    <row r="49" ht="73.5" customHeight="1" s="55">
      <c r="A49" s="74" t="inlineStr">
        <is>
          <t>OBSERVABILITY &amp; EVALUATION</t>
        </is>
      </c>
      <c r="B49" s="62" t="inlineStr">
        <is>
          <t>Bias / Fairness Testing</t>
        </is>
      </c>
      <c r="C49" s="62" t="inlineStr">
        <is>
          <t>High+</t>
        </is>
      </c>
      <c r="D49" s="62" t="inlineStr">
        <is>
          <t>No</t>
        </is>
      </c>
      <c r="E49" s="62" t="inlineStr">
        <is>
          <t>Bias and fairness evaluated on a protected-class test set (regulated use)</t>
        </is>
      </c>
      <c r="F49" s="62" t="inlineStr">
        <is>
          <t>Bias report - test results per class + remediation tickets</t>
        </is>
      </c>
      <c r="G49" s="94" t="inlineStr">
        <is>
          <t>☐</t>
        </is>
      </c>
      <c r="H49" s="94" t="inlineStr">
        <is>
          <t>☐</t>
        </is>
      </c>
      <c r="I49" s="62" t="n"/>
    </row>
    <row r="50" ht="18" customHeight="1" s="55">
      <c r="A50" s="98" t="inlineStr">
        <is>
          <t>☐ DATA PROTECTION FOR AI</t>
        </is>
      </c>
    </row>
    <row r="51" ht="60" customHeight="1" s="55">
      <c r="A51" s="75" t="inlineStr">
        <is>
          <t>DATA PROTECTION FOR AI</t>
        </is>
      </c>
      <c r="B51" s="62" t="inlineStr">
        <is>
          <t>DLP Rules Active</t>
        </is>
      </c>
      <c r="C51" s="62" t="inlineStr">
        <is>
          <t>Med+</t>
        </is>
      </c>
      <c r="D51" s="62" t="inlineStr">
        <is>
          <t>No</t>
        </is>
      </c>
      <c r="E51" s="62" t="inlineStr">
        <is>
          <t>DLP policies applied to AI tool data flows (prompt + response + upload)</t>
        </is>
      </c>
      <c r="F51" s="62" t="inlineStr">
        <is>
          <t>DLP policy config - AI tool in scope + sample block log</t>
        </is>
      </c>
      <c r="G51" s="94" t="inlineStr">
        <is>
          <t>☐</t>
        </is>
      </c>
      <c r="H51" s="94" t="inlineStr">
        <is>
          <t>☐</t>
        </is>
      </c>
      <c r="I51" s="62" t="n"/>
    </row>
    <row r="52" ht="73.5" customHeight="1" s="55">
      <c r="A52" s="75" t="inlineStr">
        <is>
          <t>DATA PROTECTION FOR AI</t>
        </is>
      </c>
      <c r="B52" s="62" t="inlineStr">
        <is>
          <t>PII Detection</t>
        </is>
      </c>
      <c r="C52" s="62" t="inlineStr">
        <is>
          <t>Med+</t>
        </is>
      </c>
      <c r="D52" s="62" t="inlineStr">
        <is>
          <t>No</t>
        </is>
      </c>
      <c r="E52" s="62" t="inlineStr">
        <is>
          <t>PII detection scanning enabled on inputs and outputs</t>
        </is>
      </c>
      <c r="F52" s="62" t="inlineStr">
        <is>
          <t>Scanner config - PII types detected + sample detection log</t>
        </is>
      </c>
      <c r="G52" s="94" t="inlineStr">
        <is>
          <t>☐</t>
        </is>
      </c>
      <c r="H52" s="94" t="inlineStr">
        <is>
          <t>☐</t>
        </is>
      </c>
      <c r="I52" s="62" t="n"/>
    </row>
    <row r="53" ht="73.5" customHeight="1" s="55">
      <c r="A53" s="75" t="inlineStr">
        <is>
          <t>DATA PROTECTION FOR AI</t>
        </is>
      </c>
      <c r="B53" s="62" t="inlineStr">
        <is>
          <t>Data Classification</t>
        </is>
      </c>
      <c r="C53" s="62" t="inlineStr">
        <is>
          <t>Med+</t>
        </is>
      </c>
      <c r="D53" s="62" t="inlineStr">
        <is>
          <t>No</t>
        </is>
      </c>
      <c r="E53" s="62" t="inlineStr">
        <is>
          <t>Data handled by tool is classified (public / internal / confidential / regulated)</t>
        </is>
      </c>
      <c r="F53" s="62" t="inlineStr">
        <is>
          <t>Data classification tag applied to data sources and tool usage</t>
        </is>
      </c>
      <c r="G53" s="94" t="inlineStr">
        <is>
          <t>☐</t>
        </is>
      </c>
      <c r="H53" s="94" t="inlineStr">
        <is>
          <t>☐</t>
        </is>
      </c>
      <c r="I53" s="62" t="n"/>
    </row>
    <row r="54" ht="60" customHeight="1" s="55">
      <c r="A54" s="75" t="inlineStr">
        <is>
          <t>DATA PROTECTION FOR AI</t>
        </is>
      </c>
      <c r="B54" s="62" t="inlineStr">
        <is>
          <t>Encryption - Transit</t>
        </is>
      </c>
      <c r="C54" s="62" t="inlineStr">
        <is>
          <t>All</t>
        </is>
      </c>
      <c r="D54" s="62" t="inlineStr">
        <is>
          <t>No</t>
        </is>
      </c>
      <c r="E54" s="62" t="inlineStr">
        <is>
          <t>TLS 1.2 or higher for all data in transit (prefer 1.3)</t>
        </is>
      </c>
      <c r="F54" s="62" t="inlineStr">
        <is>
          <t>SSL Labs report or vendor attestation for TLS 1.2 / 1.3</t>
        </is>
      </c>
      <c r="G54" s="94" t="inlineStr">
        <is>
          <t>☐</t>
        </is>
      </c>
      <c r="H54" s="94" t="inlineStr">
        <is>
          <t>☐</t>
        </is>
      </c>
      <c r="I54" s="62" t="n"/>
    </row>
    <row r="55" ht="73.5" customHeight="1" s="55">
      <c r="A55" s="75" t="inlineStr">
        <is>
          <t>DATA PROTECTION FOR AI</t>
        </is>
      </c>
      <c r="B55" s="62" t="inlineStr">
        <is>
          <t>Encryption - Rest</t>
        </is>
      </c>
      <c r="C55" s="62" t="inlineStr">
        <is>
          <t>Med+</t>
        </is>
      </c>
      <c r="D55" s="62" t="inlineStr">
        <is>
          <t>No</t>
        </is>
      </c>
      <c r="E55" s="62" t="inlineStr">
        <is>
          <t>Data at rest encrypted if tool stores data; CMK for regulated workloads</t>
        </is>
      </c>
      <c r="F55" s="62" t="inlineStr">
        <is>
          <t>Encryption config or vendor attestation; CMK reference for High+</t>
        </is>
      </c>
      <c r="G55" s="94" t="inlineStr">
        <is>
          <t>☐</t>
        </is>
      </c>
      <c r="H55" s="94" t="inlineStr">
        <is>
          <t>☐</t>
        </is>
      </c>
      <c r="I55" s="62" t="n"/>
    </row>
    <row r="56" ht="73.5" customHeight="1" s="55">
      <c r="A56" s="75" t="inlineStr">
        <is>
          <t>DATA PROTECTION FOR AI</t>
        </is>
      </c>
      <c r="B56" s="62" t="inlineStr">
        <is>
          <t>Data Masking</t>
        </is>
      </c>
      <c r="C56" s="62" t="inlineStr">
        <is>
          <t>High+</t>
        </is>
      </c>
      <c r="D56" s="62" t="inlineStr">
        <is>
          <t>No</t>
        </is>
      </c>
      <c r="E56" s="62" t="inlineStr">
        <is>
          <t>PII masked / redacted in logs and non-production outputs</t>
        </is>
      </c>
      <c r="F56" s="62" t="inlineStr">
        <is>
          <t>Sample masked log entry showing [REDACTED] or token-replaced fields</t>
        </is>
      </c>
      <c r="G56" s="94" t="inlineStr">
        <is>
          <t>☐</t>
        </is>
      </c>
      <c r="H56" s="94" t="inlineStr">
        <is>
          <t>☐</t>
        </is>
      </c>
      <c r="I56" s="62" t="n"/>
    </row>
    <row r="57" ht="73.5" customHeight="1" s="55">
      <c r="A57" s="75" t="inlineStr">
        <is>
          <t>DATA PROTECTION FOR AI</t>
        </is>
      </c>
      <c r="B57" s="62" t="inlineStr">
        <is>
          <t>Retention Policies</t>
        </is>
      </c>
      <c r="C57" s="62" t="inlineStr">
        <is>
          <t>Med+</t>
        </is>
      </c>
      <c r="D57" s="62" t="inlineStr">
        <is>
          <t>No</t>
        </is>
      </c>
      <c r="E57" s="62" t="inlineStr">
        <is>
          <t>Data retention limits configured and enforced</t>
        </is>
      </c>
      <c r="F57" s="62" t="inlineStr">
        <is>
          <t>Retention policy config or vendor attestation showing retention period</t>
        </is>
      </c>
      <c r="G57" s="94" t="inlineStr">
        <is>
          <t>☐</t>
        </is>
      </c>
      <c r="H57" s="94" t="inlineStr">
        <is>
          <t>☐</t>
        </is>
      </c>
      <c r="I57" s="62" t="n"/>
    </row>
    <row r="58" ht="60" customHeight="1" s="55">
      <c r="A58" s="75" t="inlineStr">
        <is>
          <t>DATA PROTECTION FOR AI</t>
        </is>
      </c>
      <c r="B58" s="62" t="inlineStr">
        <is>
          <t>Training Data Opt-Out</t>
        </is>
      </c>
      <c r="C58" s="62" t="inlineStr">
        <is>
          <t>All</t>
        </is>
      </c>
      <c r="D58" s="62" t="inlineStr">
        <is>
          <t>No</t>
        </is>
      </c>
      <c r="E58" s="62" t="inlineStr">
        <is>
          <t>Customer data explicitly excluded from vendor training</t>
        </is>
      </c>
      <c r="F58" s="62" t="inlineStr">
        <is>
          <t>DPA clause + vendor written confirmation of opt-out</t>
        </is>
      </c>
      <c r="G58" s="94" t="inlineStr">
        <is>
          <t>☐</t>
        </is>
      </c>
      <c r="H58" s="94" t="inlineStr">
        <is>
          <t>☐</t>
        </is>
      </c>
      <c r="I58" s="62" t="n"/>
    </row>
    <row r="59" ht="60" customHeight="1" s="55">
      <c r="A59" s="75" t="inlineStr">
        <is>
          <t>DATA PROTECTION FOR AI</t>
        </is>
      </c>
      <c r="B59" s="62" t="inlineStr">
        <is>
          <t>Content Provenance / Watermarking</t>
        </is>
      </c>
      <c r="C59" s="62" t="inlineStr">
        <is>
          <t>High+</t>
        </is>
      </c>
      <c r="D59" s="62" t="inlineStr">
        <is>
          <t>No</t>
        </is>
      </c>
      <c r="E59" s="62" t="inlineStr">
        <is>
          <t>AI-generated output marked (C2PA, watermark, disclosure) when published externally</t>
        </is>
      </c>
      <c r="F59" s="62" t="inlineStr">
        <is>
          <t>Content attribution log + watermark tooling config</t>
        </is>
      </c>
      <c r="G59" s="94" t="inlineStr">
        <is>
          <t>☐</t>
        </is>
      </c>
      <c r="H59" s="94" t="inlineStr">
        <is>
          <t>☐</t>
        </is>
      </c>
      <c r="I59" s="62" t="n"/>
    </row>
    <row r="60" ht="60" customHeight="1" s="55">
      <c r="A60" s="75" t="inlineStr">
        <is>
          <t>DATA PROTECTION FOR AI</t>
        </is>
      </c>
      <c r="B60" s="62" t="inlineStr">
        <is>
          <t>Incident Disclosure to Users</t>
        </is>
      </c>
      <c r="C60" s="62" t="inlineStr">
        <is>
          <t>High+</t>
        </is>
      </c>
      <c r="D60" s="62" t="inlineStr">
        <is>
          <t>No</t>
        </is>
      </c>
      <c r="E60" s="62" t="inlineStr">
        <is>
          <t>Process for notifying affected users of AI-related incidents</t>
        </is>
      </c>
      <c r="F60" s="62" t="inlineStr">
        <is>
          <t>Incident comms template + responsible-party assignment</t>
        </is>
      </c>
      <c r="G60" s="94" t="inlineStr">
        <is>
          <t>☐</t>
        </is>
      </c>
      <c r="H60" s="94" t="inlineStr">
        <is>
          <t>☐</t>
        </is>
      </c>
      <c r="I60" s="62" t="n"/>
    </row>
    <row r="61" ht="18" customHeight="1" s="55">
      <c r="A61" s="99" t="inlineStr">
        <is>
          <t>☐ NHI &amp; AGENTIC ACCESS</t>
        </is>
      </c>
    </row>
    <row r="62" ht="73.5" customHeight="1" s="55">
      <c r="A62" s="76" t="inlineStr">
        <is>
          <t>NHI &amp; AGENTIC ACCESS</t>
        </is>
      </c>
      <c r="B62" s="62" t="inlineStr">
        <is>
          <t>Service Account Scoping</t>
        </is>
      </c>
      <c r="C62" s="62" t="inlineStr">
        <is>
          <t>Med+</t>
        </is>
      </c>
      <c r="D62" s="78" t="inlineStr">
        <is>
          <t>Yes</t>
        </is>
      </c>
      <c r="E62" s="62" t="inlineStr">
        <is>
          <t>Service accounts use least-privilege scoped to the workload</t>
        </is>
      </c>
      <c r="F62" s="62" t="inlineStr">
        <is>
          <t>IAM policy export - scoped permissions for the AI service account</t>
        </is>
      </c>
      <c r="G62" s="94" t="inlineStr">
        <is>
          <t>☐</t>
        </is>
      </c>
      <c r="H62" s="94" t="inlineStr">
        <is>
          <t>☐</t>
        </is>
      </c>
      <c r="I62" s="62" t="n"/>
    </row>
    <row r="63" ht="87.75" customHeight="1" s="55">
      <c r="A63" s="76" t="inlineStr">
        <is>
          <t>NHI &amp; AGENTIC ACCESS</t>
        </is>
      </c>
      <c r="B63" s="62" t="inlineStr">
        <is>
          <t>Secrets Management</t>
        </is>
      </c>
      <c r="C63" s="62" t="inlineStr">
        <is>
          <t>Med+</t>
        </is>
      </c>
      <c r="D63" s="78" t="inlineStr">
        <is>
          <t>Yes</t>
        </is>
      </c>
      <c r="E63" s="62" t="inlineStr">
        <is>
          <t>Credentials in PAM vault / secrets manager; no plaintext in code or config</t>
        </is>
      </c>
      <c r="F63" s="62" t="inlineStr">
        <is>
          <t>Vault screenshot - secret reference (no plaintext) + CI secret-scan clean</t>
        </is>
      </c>
      <c r="G63" s="94" t="inlineStr">
        <is>
          <t>☐</t>
        </is>
      </c>
      <c r="H63" s="94" t="inlineStr">
        <is>
          <t>☐</t>
        </is>
      </c>
      <c r="I63" s="62" t="n"/>
    </row>
    <row r="64" ht="60" customHeight="1" s="55">
      <c r="A64" s="76" t="inlineStr">
        <is>
          <t>NHI &amp; AGENTIC ACCESS</t>
        </is>
      </c>
      <c r="B64" s="62" t="inlineStr">
        <is>
          <t>Credential Rotation</t>
        </is>
      </c>
      <c r="C64" s="62" t="inlineStr">
        <is>
          <t>Med+</t>
        </is>
      </c>
      <c r="D64" s="78" t="inlineStr">
        <is>
          <t>Yes</t>
        </is>
      </c>
      <c r="E64" s="62" t="inlineStr">
        <is>
          <t>Credentials rotated on policy cadence; automated where supported</t>
        </is>
      </c>
      <c r="F64" s="62" t="inlineStr">
        <is>
          <t>Vault rotation schedule + last rotation timestamp</t>
        </is>
      </c>
      <c r="G64" s="94" t="inlineStr">
        <is>
          <t>☐</t>
        </is>
      </c>
      <c r="H64" s="94" t="inlineStr">
        <is>
          <t>☐</t>
        </is>
      </c>
      <c r="I64" s="62" t="n"/>
    </row>
    <row r="65" ht="60" customHeight="1" s="55">
      <c r="A65" s="76" t="inlineStr">
        <is>
          <t>NHI &amp; AGENTIC ACCESS</t>
        </is>
      </c>
      <c r="B65" s="62" t="inlineStr">
        <is>
          <t>Short-Lived Tokens</t>
        </is>
      </c>
      <c r="C65" s="62" t="inlineStr">
        <is>
          <t>High+</t>
        </is>
      </c>
      <c r="D65" s="78" t="inlineStr">
        <is>
          <t>Yes</t>
        </is>
      </c>
      <c r="E65" s="62" t="inlineStr">
        <is>
          <t>Tokens expire within 24 hours; 8 hours for privileged workloads</t>
        </is>
      </c>
      <c r="F65" s="62" t="inlineStr">
        <is>
          <t>Token config showing TTL ≤ 24h standard; ≤ 8h privileged</t>
        </is>
      </c>
      <c r="G65" s="94" t="inlineStr">
        <is>
          <t>☐</t>
        </is>
      </c>
      <c r="H65" s="94" t="inlineStr">
        <is>
          <t>☐</t>
        </is>
      </c>
      <c r="I65" s="62" t="n"/>
    </row>
    <row r="66" ht="73.5" customHeight="1" s="55">
      <c r="A66" s="76" t="inlineStr">
        <is>
          <t>NHI &amp; AGENTIC ACCESS</t>
        </is>
      </c>
      <c r="B66" s="62" t="inlineStr">
        <is>
          <t>Agent Authentication</t>
        </is>
      </c>
      <c r="C66" s="62" t="inlineStr">
        <is>
          <t>High+</t>
        </is>
      </c>
      <c r="D66" s="78" t="inlineStr">
        <is>
          <t>Yes</t>
        </is>
      </c>
      <c r="E66" s="62" t="inlineStr">
        <is>
          <t>Agents authenticate with strong identity (mTLS, SPIFFE, or PAM-issued)</t>
        </is>
      </c>
      <c r="F66" s="62" t="inlineStr">
        <is>
          <t>mTLS cert config or API gateway auth policy for agent identity</t>
        </is>
      </c>
      <c r="G66" s="94" t="inlineStr">
        <is>
          <t>☐</t>
        </is>
      </c>
      <c r="H66" s="94" t="inlineStr">
        <is>
          <t>☐</t>
        </is>
      </c>
      <c r="I66" s="62" t="n"/>
    </row>
    <row r="67" ht="60" customHeight="1" s="55">
      <c r="A67" s="76" t="inlineStr">
        <is>
          <t>NHI &amp; AGENTIC ACCESS</t>
        </is>
      </c>
      <c r="B67" s="62" t="inlineStr">
        <is>
          <t>Intent Validation</t>
        </is>
      </c>
      <c r="C67" s="62" t="inlineStr">
        <is>
          <t>High+</t>
        </is>
      </c>
      <c r="D67" s="78" t="inlineStr">
        <is>
          <t>Yes</t>
        </is>
      </c>
      <c r="E67" s="62" t="inlineStr">
        <is>
          <t>Agent actions validated against permitted intent catalog</t>
        </is>
      </c>
      <c r="F67" s="62" t="inlineStr">
        <is>
          <t>Intent-validation policy + sample blocked action log</t>
        </is>
      </c>
      <c r="G67" s="94" t="inlineStr">
        <is>
          <t>☐</t>
        </is>
      </c>
      <c r="H67" s="94" t="inlineStr">
        <is>
          <t>☐</t>
        </is>
      </c>
      <c r="I67" s="62" t="n"/>
    </row>
    <row r="68" ht="60" customHeight="1" s="55">
      <c r="A68" s="76" t="inlineStr">
        <is>
          <t>NHI &amp; AGENTIC ACCESS</t>
        </is>
      </c>
      <c r="B68" s="62" t="inlineStr">
        <is>
          <t>Tool / Function Authorization</t>
        </is>
      </c>
      <c r="C68" s="62" t="inlineStr">
        <is>
          <t>High+</t>
        </is>
      </c>
      <c r="D68" s="78" t="inlineStr">
        <is>
          <t>Yes</t>
        </is>
      </c>
      <c r="E68" s="62" t="inlineStr">
        <is>
          <t>Every agent tool call authorized and logged; tool catalog allowlisted</t>
        </is>
      </c>
      <c r="F68" s="62" t="inlineStr">
        <is>
          <t>Tool call logs + authorization policy config</t>
        </is>
      </c>
      <c r="G68" s="94" t="inlineStr">
        <is>
          <t>☐</t>
        </is>
      </c>
      <c r="H68" s="94" t="inlineStr">
        <is>
          <t>☐</t>
        </is>
      </c>
      <c r="I68" s="62" t="n"/>
    </row>
    <row r="69" ht="60" customHeight="1" s="55">
      <c r="A69" s="76" t="inlineStr">
        <is>
          <t>NHI &amp; AGENTIC ACCESS</t>
        </is>
      </c>
      <c r="B69" s="62" t="inlineStr">
        <is>
          <t>Sub-Agent Spawn Limits</t>
        </is>
      </c>
      <c r="C69" s="62" t="inlineStr">
        <is>
          <t>High+</t>
        </is>
      </c>
      <c r="D69" s="78" t="inlineStr">
        <is>
          <t>Yes</t>
        </is>
      </c>
      <c r="E69" s="62" t="inlineStr">
        <is>
          <t>Spawn depth limited; resource quotas per sub-agent; lineage audited</t>
        </is>
      </c>
      <c r="F69" s="62" t="inlineStr">
        <is>
          <t>Spawn policy config + sample lineage audit export</t>
        </is>
      </c>
      <c r="G69" s="94" t="inlineStr">
        <is>
          <t>☐</t>
        </is>
      </c>
      <c r="H69" s="94" t="inlineStr">
        <is>
          <t>☐</t>
        </is>
      </c>
      <c r="I69" s="62" t="n"/>
    </row>
    <row r="70" ht="60" customHeight="1" s="55">
      <c r="A70" s="76" t="inlineStr">
        <is>
          <t>NHI &amp; AGENTIC ACCESS</t>
        </is>
      </c>
      <c r="B70" s="62" t="inlineStr">
        <is>
          <t>Autonomous Action Limits</t>
        </is>
      </c>
      <c r="C70" s="62" t="inlineStr">
        <is>
          <t>Severe</t>
        </is>
      </c>
      <c r="D70" s="78" t="inlineStr">
        <is>
          <t>Yes</t>
        </is>
      </c>
      <c r="E70" s="62" t="inlineStr">
        <is>
          <t>Limits on autonomous actions; HITL required for critical / irreversible operations</t>
        </is>
      </c>
      <c r="F70" s="62" t="inlineStr">
        <is>
          <t>Autonomy policy document + action-threshold config</t>
        </is>
      </c>
      <c r="G70" s="94" t="inlineStr">
        <is>
          <t>☐</t>
        </is>
      </c>
      <c r="H70" s="94" t="inlineStr">
        <is>
          <t>☐</t>
        </is>
      </c>
      <c r="I70" s="62" t="n"/>
    </row>
    <row r="71" ht="60" customHeight="1" s="55">
      <c r="A71" s="76" t="inlineStr">
        <is>
          <t>NHI &amp; AGENTIC ACCESS</t>
        </is>
      </c>
      <c r="B71" s="62" t="inlineStr">
        <is>
          <t>Agentic Boundary Controls</t>
        </is>
      </c>
      <c r="C71" s="62" t="inlineStr">
        <is>
          <t>Severe</t>
        </is>
      </c>
      <c r="D71" s="78" t="inlineStr">
        <is>
          <t>Yes</t>
        </is>
      </c>
      <c r="E71" s="62" t="inlineStr">
        <is>
          <t>Multi-agent systems have trust boundaries + inter-agent controls</t>
        </is>
      </c>
      <c r="F71" s="62" t="inlineStr">
        <is>
          <t>Agent architecture diagram + boundary enforcement config</t>
        </is>
      </c>
      <c r="G71" s="94" t="inlineStr">
        <is>
          <t>☐</t>
        </is>
      </c>
      <c r="H71" s="94" t="inlineStr">
        <is>
          <t>☐</t>
        </is>
      </c>
      <c r="I71" s="62" t="n"/>
    </row>
    <row r="72" ht="73.5" customHeight="1" s="55">
      <c r="A72" s="76" t="inlineStr">
        <is>
          <t>NHI &amp; AGENTIC ACCESS</t>
        </is>
      </c>
      <c r="B72" s="62" t="inlineStr">
        <is>
          <t>Shell / FS Sandbox</t>
        </is>
      </c>
      <c r="C72" s="62" t="inlineStr">
        <is>
          <t>Severe</t>
        </is>
      </c>
      <c r="D72" s="78" t="inlineStr">
        <is>
          <t>Yes</t>
        </is>
      </c>
      <c r="E72" s="62" t="inlineStr">
        <is>
          <t>Shell + filesystem access runs in ephemeral sandbox with path allowlist</t>
        </is>
      </c>
      <c r="F72" s="62" t="inlineStr">
        <is>
          <t>Sandbox image + path allowlist + command-allowlist config</t>
        </is>
      </c>
      <c r="G72" s="94" t="inlineStr">
        <is>
          <t>☐</t>
        </is>
      </c>
      <c r="H72" s="94" t="inlineStr">
        <is>
          <t>☐</t>
        </is>
      </c>
      <c r="I72" s="62" t="n"/>
    </row>
    <row r="73" ht="18" customHeight="1" s="55">
      <c r="A73" s="100" t="inlineStr">
        <is>
          <t>☐ AI SUPPLY CHAIN</t>
        </is>
      </c>
    </row>
    <row r="74" ht="73.5" customHeight="1" s="55">
      <c r="A74" s="77" t="inlineStr">
        <is>
          <t>AI SUPPLY CHAIN</t>
        </is>
      </c>
      <c r="B74" s="62" t="inlineStr">
        <is>
          <t>Model Provenance</t>
        </is>
      </c>
      <c r="C74" s="62" t="inlineStr">
        <is>
          <t>High+</t>
        </is>
      </c>
      <c r="D74" s="62" t="inlineStr">
        <is>
          <t>No</t>
        </is>
      </c>
      <c r="E74" s="62" t="inlineStr">
        <is>
          <t>Model source, version, and cryptographic hash documented</t>
        </is>
      </c>
      <c r="F74" s="62" t="inlineStr">
        <is>
          <t>Model registry entry - source, version, SHA256 hash, signer</t>
        </is>
      </c>
      <c r="G74" s="94" t="inlineStr">
        <is>
          <t>☐</t>
        </is>
      </c>
      <c r="H74" s="94" t="inlineStr">
        <is>
          <t>☐</t>
        </is>
      </c>
      <c r="I74" s="62" t="n"/>
    </row>
    <row r="75" ht="87.75" customHeight="1" s="55">
      <c r="A75" s="77" t="inlineStr">
        <is>
          <t>AI SUPPLY CHAIN</t>
        </is>
      </c>
      <c r="B75" s="62" t="inlineStr">
        <is>
          <t>Model Version Pinning</t>
        </is>
      </c>
      <c r="C75" s="62" t="inlineStr">
        <is>
          <t>Med+</t>
        </is>
      </c>
      <c r="D75" s="62" t="inlineStr">
        <is>
          <t>No</t>
        </is>
      </c>
      <c r="E75" s="62" t="inlineStr">
        <is>
          <t>Deployed models pin a specific version or snapshot ID</t>
        </is>
      </c>
      <c r="F75" s="62" t="inlineStr">
        <is>
          <t>Deployment config - explicit model-version reference (no -latest aliases)</t>
        </is>
      </c>
      <c r="G75" s="94" t="inlineStr">
        <is>
          <t>☐</t>
        </is>
      </c>
      <c r="H75" s="94" t="inlineStr">
        <is>
          <t>☐</t>
        </is>
      </c>
      <c r="I75" s="62" t="n"/>
    </row>
    <row r="76" ht="45.75" customHeight="1" s="55">
      <c r="A76" s="77" t="inlineStr">
        <is>
          <t>AI SUPPLY CHAIN</t>
        </is>
      </c>
      <c r="B76" s="62" t="inlineStr">
        <is>
          <t>Model Rollback Procedure</t>
        </is>
      </c>
      <c r="C76" s="62" t="inlineStr">
        <is>
          <t>High+</t>
        </is>
      </c>
      <c r="D76" s="62" t="inlineStr">
        <is>
          <t>No</t>
        </is>
      </c>
      <c r="E76" s="62" t="inlineStr">
        <is>
          <t>Documented rollback when a new model version degrades performance or safety</t>
        </is>
      </c>
      <c r="F76" s="62" t="inlineStr">
        <is>
          <t>Rollback runbook + last tested date</t>
        </is>
      </c>
      <c r="G76" s="94" t="inlineStr">
        <is>
          <t>☐</t>
        </is>
      </c>
      <c r="H76" s="94" t="inlineStr">
        <is>
          <t>☐</t>
        </is>
      </c>
      <c r="I76" s="62" t="n"/>
    </row>
    <row r="77" ht="60" customHeight="1" s="55">
      <c r="A77" s="77" t="inlineStr">
        <is>
          <t>AI SUPPLY CHAIN</t>
        </is>
      </c>
      <c r="B77" s="62" t="inlineStr">
        <is>
          <t>Training Data Lineage</t>
        </is>
      </c>
      <c r="C77" s="62" t="inlineStr">
        <is>
          <t>High+</t>
        </is>
      </c>
      <c r="D77" s="62" t="inlineStr">
        <is>
          <t>No</t>
        </is>
      </c>
      <c r="E77" s="62" t="inlineStr">
        <is>
          <t>Training data sources documented with rights verification</t>
        </is>
      </c>
      <c r="F77" s="62" t="inlineStr">
        <is>
          <t>Lineage doc - sources + licensing / rights documentation</t>
        </is>
      </c>
      <c r="G77" s="94" t="inlineStr">
        <is>
          <t>☐</t>
        </is>
      </c>
      <c r="H77" s="94" t="inlineStr">
        <is>
          <t>☐</t>
        </is>
      </c>
      <c r="I77" s="62" t="n"/>
    </row>
    <row r="78" ht="60" customHeight="1" s="55">
      <c r="A78" s="77" t="inlineStr">
        <is>
          <t>AI SUPPLY CHAIN</t>
        </is>
      </c>
      <c r="B78" s="62" t="inlineStr">
        <is>
          <t>Training Data Opt-In</t>
        </is>
      </c>
      <c r="C78" s="62" t="inlineStr">
        <is>
          <t>Med+</t>
        </is>
      </c>
      <c r="D78" s="62" t="inlineStr">
        <is>
          <t>No</t>
        </is>
      </c>
      <c r="E78" s="62" t="inlineStr">
        <is>
          <t>Where applicable, affirmative consent captured for training use</t>
        </is>
      </c>
      <c r="F78" s="62" t="inlineStr">
        <is>
          <t>Consent record - dataset, user, date, scope</t>
        </is>
      </c>
      <c r="G78" s="94" t="inlineStr">
        <is>
          <t>☐</t>
        </is>
      </c>
      <c r="H78" s="94" t="inlineStr">
        <is>
          <t>☐</t>
        </is>
      </c>
      <c r="I78" s="62" t="n"/>
    </row>
    <row r="79" ht="73.5" customHeight="1" s="55">
      <c r="A79" s="77" t="inlineStr">
        <is>
          <t>AI SUPPLY CHAIN</t>
        </is>
      </c>
      <c r="B79" s="62" t="inlineStr">
        <is>
          <t>ML Pipeline Security</t>
        </is>
      </c>
      <c r="C79" s="62" t="inlineStr">
        <is>
          <t>High+</t>
        </is>
      </c>
      <c r="D79" s="62" t="inlineStr">
        <is>
          <t>No</t>
        </is>
      </c>
      <c r="E79" s="62" t="inlineStr">
        <is>
          <t>ML CI/CD pipeline has access controls, signed commits, artifact signing</t>
        </is>
      </c>
      <c r="F79" s="62" t="inlineStr">
        <is>
          <t>Pipeline config - access controls + audit log + signed-artifact policy</t>
        </is>
      </c>
      <c r="G79" s="94" t="inlineStr">
        <is>
          <t>☐</t>
        </is>
      </c>
      <c r="H79" s="94" t="inlineStr">
        <is>
          <t>☐</t>
        </is>
      </c>
      <c r="I79" s="62" t="n"/>
    </row>
    <row r="80" ht="73.5" customHeight="1" s="55">
      <c r="A80" s="77" t="inlineStr">
        <is>
          <t>AI SUPPLY CHAIN</t>
        </is>
      </c>
      <c r="B80" s="62" t="inlineStr">
        <is>
          <t>Model Integrity Verification</t>
        </is>
      </c>
      <c r="C80" s="62" t="inlineStr">
        <is>
          <t>High+</t>
        </is>
      </c>
      <c r="D80" s="62" t="inlineStr">
        <is>
          <t>No</t>
        </is>
      </c>
      <c r="E80" s="62" t="inlineStr">
        <is>
          <t>Model signatures verified at deployment</t>
        </is>
      </c>
      <c r="F80" s="62" t="inlineStr">
        <is>
          <t>Signed model artifact + hash verification log at deploy time</t>
        </is>
      </c>
      <c r="G80" s="94" t="inlineStr">
        <is>
          <t>☐</t>
        </is>
      </c>
      <c r="H80" s="94" t="inlineStr">
        <is>
          <t>☐</t>
        </is>
      </c>
      <c r="I80" s="62" t="n"/>
    </row>
    <row r="81" ht="60" customHeight="1" s="55">
      <c r="A81" s="77" t="inlineStr">
        <is>
          <t>AI SUPPLY CHAIN</t>
        </is>
      </c>
      <c r="B81" s="62" t="inlineStr">
        <is>
          <t>Third-Party Model Assessment</t>
        </is>
      </c>
      <c r="C81" s="62" t="inlineStr">
        <is>
          <t>Med+</t>
        </is>
      </c>
      <c r="D81" s="62" t="inlineStr">
        <is>
          <t>No</t>
        </is>
      </c>
      <c r="E81" s="62" t="inlineStr">
        <is>
          <t>External models assessed for security, bias, license risk</t>
        </is>
      </c>
      <c r="F81" s="62" t="inlineStr">
        <is>
          <t>Third-party model risk assessment completed and filed</t>
        </is>
      </c>
      <c r="G81" s="94" t="inlineStr">
        <is>
          <t>☐</t>
        </is>
      </c>
      <c r="H81" s="94" t="inlineStr">
        <is>
          <t>☐</t>
        </is>
      </c>
      <c r="I81" s="62" t="n"/>
    </row>
    <row r="82" ht="60" customHeight="1" s="55">
      <c r="A82" s="77" t="inlineStr">
        <is>
          <t>AI SUPPLY CHAIN</t>
        </is>
      </c>
      <c r="B82" s="62" t="inlineStr">
        <is>
          <t>Plugin / Extension Validation</t>
        </is>
      </c>
      <c r="C82" s="62" t="inlineStr">
        <is>
          <t>High+</t>
        </is>
      </c>
      <c r="D82" s="78" t="inlineStr">
        <is>
          <t>Yes</t>
        </is>
      </c>
      <c r="E82" s="62" t="inlineStr">
        <is>
          <t>Agent plugins / MCP servers validated and signature-verified before use</t>
        </is>
      </c>
      <c r="F82" s="62" t="inlineStr">
        <is>
          <t>Plugin security review + approved registry entry</t>
        </is>
      </c>
      <c r="G82" s="94" t="inlineStr">
        <is>
          <t>☐</t>
        </is>
      </c>
      <c r="H82" s="94" t="inlineStr">
        <is>
          <t>☐</t>
        </is>
      </c>
      <c r="I82" s="62" t="n"/>
    </row>
    <row r="83" ht="73.5" customHeight="1" s="55">
      <c r="A83" s="77" t="inlineStr">
        <is>
          <t>AI SUPPLY CHAIN</t>
        </is>
      </c>
      <c r="B83" s="62" t="inlineStr">
        <is>
          <t>Vector Store Security</t>
        </is>
      </c>
      <c r="C83" s="62" t="inlineStr">
        <is>
          <t>High+</t>
        </is>
      </c>
      <c r="D83" s="78" t="inlineStr">
        <is>
          <t>Yes</t>
        </is>
      </c>
      <c r="E83" s="62" t="inlineStr">
        <is>
          <t>Vector DB protected against poisoning + unauthorized access</t>
        </is>
      </c>
      <c r="F83" s="62" t="inlineStr">
        <is>
          <t>Access control config + injection / poisoning test results</t>
        </is>
      </c>
      <c r="G83" s="94" t="inlineStr">
        <is>
          <t>☐</t>
        </is>
      </c>
      <c r="H83" s="94" t="inlineStr">
        <is>
          <t>☐</t>
        </is>
      </c>
      <c r="I83" s="62" t="n"/>
    </row>
    <row r="84" ht="60" customHeight="1" s="55">
      <c r="A84" s="77" t="inlineStr">
        <is>
          <t>AI SUPPLY CHAIN</t>
        </is>
      </c>
      <c r="B84" s="62" t="inlineStr">
        <is>
          <t>System Prompt Protection</t>
        </is>
      </c>
      <c r="C84" s="62" t="inlineStr">
        <is>
          <t>Med+</t>
        </is>
      </c>
      <c r="D84" s="78" t="inlineStr">
        <is>
          <t>Yes</t>
        </is>
      </c>
      <c r="E84" s="62" t="inlineStr">
        <is>
          <t>System prompts secured against extraction; no secrets in system prompt</t>
        </is>
      </c>
      <c r="F84" s="62" t="inlineStr">
        <is>
          <t>Extraction test results + system-prompt isolation config</t>
        </is>
      </c>
      <c r="G84" s="94" t="inlineStr">
        <is>
          <t>☐</t>
        </is>
      </c>
      <c r="H84" s="94" t="inlineStr">
        <is>
          <t>☐</t>
        </is>
      </c>
      <c r="I84" s="62" t="n"/>
    </row>
    <row r="85" ht="60" customHeight="1" s="55">
      <c r="A85" s="77" t="inlineStr">
        <is>
          <t>AI SUPPLY CHAIN</t>
        </is>
      </c>
      <c r="B85" s="62" t="inlineStr">
        <is>
          <t>Embedding Integrity</t>
        </is>
      </c>
      <c r="C85" s="62" t="inlineStr">
        <is>
          <t>High+</t>
        </is>
      </c>
      <c r="D85" s="78" t="inlineStr">
        <is>
          <t>Yes</t>
        </is>
      </c>
      <c r="E85" s="62" t="inlineStr">
        <is>
          <t>Embedding pipeline integrity verified; hash check on generation</t>
        </is>
      </c>
      <c r="F85" s="62" t="inlineStr">
        <is>
          <t>Embedding pipeline audit + hash verification log</t>
        </is>
      </c>
      <c r="G85" s="94" t="inlineStr">
        <is>
          <t>☐</t>
        </is>
      </c>
      <c r="H85" s="94" t="inlineStr">
        <is>
          <t>☐</t>
        </is>
      </c>
      <c r="I85" s="62" t="n"/>
    </row>
    <row r="86" ht="60" customHeight="1" s="55">
      <c r="A86" s="77" t="inlineStr">
        <is>
          <t>AI SUPPLY CHAIN</t>
        </is>
      </c>
      <c r="B86" s="62" t="inlineStr">
        <is>
          <t>Agent Action Attestation</t>
        </is>
      </c>
      <c r="C86" s="62" t="inlineStr">
        <is>
          <t>Severe</t>
        </is>
      </c>
      <c r="D86" s="78" t="inlineStr">
        <is>
          <t>Yes</t>
        </is>
      </c>
      <c r="E86" s="62" t="inlineStr">
        <is>
          <t>Critical agent actions cryptographically signed and attested</t>
        </is>
      </c>
      <c r="F86" s="62" t="inlineStr">
        <is>
          <t>Signed action log + attestation verification procedure</t>
        </is>
      </c>
      <c r="G86" s="94" t="inlineStr">
        <is>
          <t>☐</t>
        </is>
      </c>
      <c r="H86" s="94" t="inlineStr">
        <is>
          <t>☐</t>
        </is>
      </c>
      <c r="I86" s="62" t="n"/>
    </row>
    <row r="88" ht="18" customHeight="1" s="55">
      <c r="A88" s="101" t="inlineStr">
        <is>
          <t>Verification summary</t>
        </is>
      </c>
    </row>
    <row r="89" ht="18" customHeight="1" s="55">
      <c r="A89" s="102" t="inlineStr">
        <is>
          <t>Families required</t>
        </is>
      </c>
      <c r="B89" s="91" t="n"/>
      <c r="C89" s="65" t="n"/>
      <c r="D89" s="65" t="n"/>
      <c r="E89" s="65" t="n"/>
      <c r="F89" s="65" t="n"/>
      <c r="G89" s="65" t="n"/>
      <c r="H89" s="65" t="n"/>
      <c r="I89" s="66" t="n"/>
    </row>
    <row r="90" ht="18" customHeight="1" s="55">
      <c r="A90" s="102" t="inlineStr">
        <is>
          <t>Families verified</t>
        </is>
      </c>
      <c r="B90" s="91" t="n"/>
      <c r="C90" s="65" t="n"/>
      <c r="D90" s="65" t="n"/>
      <c r="E90" s="65" t="n"/>
      <c r="F90" s="65" t="n"/>
      <c r="G90" s="65" t="n"/>
      <c r="H90" s="65" t="n"/>
      <c r="I90" s="66" t="n"/>
    </row>
    <row r="91" ht="18" customHeight="1" s="55">
      <c r="A91" s="102" t="inlineStr">
        <is>
          <t>Guardrails passed</t>
        </is>
      </c>
      <c r="B91" s="91" t="n"/>
      <c r="C91" s="65" t="n"/>
      <c r="D91" s="65" t="n"/>
      <c r="E91" s="65" t="n"/>
      <c r="F91" s="65" t="n"/>
      <c r="G91" s="65" t="n"/>
      <c r="H91" s="65" t="n"/>
      <c r="I91" s="66" t="n"/>
    </row>
    <row r="92" ht="18" customHeight="1" s="55">
      <c r="A92" s="102" t="inlineStr">
        <is>
          <t>Guardrails failed</t>
        </is>
      </c>
      <c r="B92" s="91" t="n"/>
      <c r="C92" s="65" t="n"/>
      <c r="D92" s="65" t="n"/>
      <c r="E92" s="65" t="n"/>
      <c r="F92" s="65" t="n"/>
      <c r="G92" s="65" t="n"/>
      <c r="H92" s="65" t="n"/>
      <c r="I92" s="66" t="n"/>
    </row>
    <row r="93" ht="18" customHeight="1" s="55">
      <c r="A93" s="102" t="inlineStr">
        <is>
          <t>Overall result</t>
        </is>
      </c>
      <c r="B93" s="91" t="n"/>
      <c r="C93" s="65" t="n"/>
      <c r="D93" s="65" t="n"/>
      <c r="E93" s="65" t="n"/>
      <c r="F93" s="65" t="n"/>
      <c r="G93" s="65" t="n"/>
      <c r="H93" s="65" t="n"/>
      <c r="I93" s="66" t="n"/>
    </row>
    <row r="94" ht="18" customHeight="1" s="55">
      <c r="A94" s="102" t="inlineStr">
        <is>
          <t>Sign-off (reviewer)</t>
        </is>
      </c>
      <c r="B94" s="91" t="n"/>
      <c r="C94" s="65" t="n"/>
      <c r="D94" s="65" t="n"/>
      <c r="E94" s="65" t="n"/>
      <c r="F94" s="65" t="n"/>
      <c r="G94" s="65" t="n"/>
      <c r="H94" s="65" t="n"/>
      <c r="I94" s="66" t="n"/>
    </row>
    <row r="95" ht="18" customHeight="1" s="55">
      <c r="A95" s="102" t="inlineStr">
        <is>
          <t>Date</t>
        </is>
      </c>
      <c r="B95" s="91" t="n"/>
      <c r="C95" s="65" t="n"/>
      <c r="D95" s="65" t="n"/>
      <c r="E95" s="65" t="n"/>
      <c r="F95" s="65" t="n"/>
      <c r="G95" s="65" t="n"/>
      <c r="H95" s="65" t="n"/>
      <c r="I95" s="66" t="n"/>
    </row>
    <row r="97" ht="18" customHeight="1" s="55">
      <c r="A97" s="100" t="inlineStr">
        <is>
          <t>Total guardrails: 63. Agentic-flagged: 19.</t>
        </is>
      </c>
    </row>
    <row r="99" ht="18" customHeight="1" s="55">
      <c r="A99" s="101" t="inlineStr">
        <is>
          <t>Remediation items (if FAIL)</t>
        </is>
      </c>
    </row>
    <row r="100" ht="31.5" customHeight="1" s="55">
      <c r="A100" s="102" t="inlineStr">
        <is>
          <t>#</t>
        </is>
      </c>
      <c r="B100" s="61" t="inlineStr">
        <is>
          <t>Failed Guardrail</t>
        </is>
      </c>
      <c r="C100" s="61" t="inlineStr">
        <is>
          <t>Remediation Action</t>
        </is>
      </c>
      <c r="D100" s="61" t="inlineStr">
        <is>
          <t>Owner</t>
        </is>
      </c>
      <c r="E100" s="61" t="inlineStr">
        <is>
          <t>Target Date</t>
        </is>
      </c>
      <c r="F100" s="61" t="n"/>
      <c r="G100" s="92" t="n"/>
      <c r="H100" s="92" t="n"/>
      <c r="I100" s="61" t="n"/>
    </row>
    <row r="101" ht="15" customHeight="1" s="55">
      <c r="A101" s="62" t="n">
        <v>1</v>
      </c>
      <c r="B101" s="62" t="n"/>
      <c r="C101" s="62" t="n"/>
      <c r="D101" s="62" t="n"/>
      <c r="E101" s="62" t="n"/>
      <c r="F101" s="62" t="n"/>
      <c r="G101" s="62" t="n"/>
      <c r="H101" s="62" t="n"/>
      <c r="I101" s="62" t="n"/>
    </row>
    <row r="102" ht="15" customHeight="1" s="55">
      <c r="A102" s="62" t="n">
        <v>2</v>
      </c>
      <c r="B102" s="62" t="n"/>
      <c r="C102" s="62" t="n"/>
      <c r="D102" s="62" t="n"/>
      <c r="E102" s="62" t="n"/>
      <c r="F102" s="62" t="n"/>
      <c r="G102" s="62" t="n"/>
      <c r="H102" s="62" t="n"/>
      <c r="I102" s="62" t="n"/>
    </row>
    <row r="103" ht="15" customHeight="1" s="55">
      <c r="A103" s="62" t="n">
        <v>3</v>
      </c>
      <c r="B103" s="62" t="n"/>
      <c r="C103" s="62" t="n"/>
      <c r="D103" s="62" t="n"/>
      <c r="E103" s="62" t="n"/>
      <c r="F103" s="62" t="n"/>
      <c r="G103" s="62" t="n"/>
      <c r="H103" s="62" t="n"/>
      <c r="I103" s="62" t="n"/>
    </row>
    <row r="104" ht="15" customHeight="1" s="55">
      <c r="A104" s="62" t="n">
        <v>4</v>
      </c>
      <c r="B104" s="62" t="n"/>
      <c r="C104" s="62" t="n"/>
      <c r="D104" s="62" t="n"/>
      <c r="E104" s="62" t="n"/>
      <c r="F104" s="62" t="n"/>
      <c r="G104" s="62" t="n"/>
      <c r="H104" s="62" t="n"/>
      <c r="I104" s="62" t="n"/>
    </row>
    <row r="105" ht="15" customHeight="1" s="55">
      <c r="A105" s="62" t="n">
        <v>5</v>
      </c>
      <c r="B105" s="62" t="n"/>
      <c r="C105" s="62" t="n"/>
      <c r="D105" s="62" t="n"/>
      <c r="E105" s="62" t="n"/>
      <c r="F105" s="62" t="n"/>
      <c r="G105" s="62" t="n"/>
      <c r="H105" s="62" t="n"/>
      <c r="I105" s="62" t="n"/>
    </row>
  </sheetData>
  <autoFilter ref="A16:I105"/>
  <mergeCells count="29">
    <mergeCell ref="B7:I7"/>
    <mergeCell ref="B91:I91"/>
    <mergeCell ref="A99:I99"/>
    <mergeCell ref="B90:I90"/>
    <mergeCell ref="A3:I3"/>
    <mergeCell ref="A50:I50"/>
    <mergeCell ref="B93:I93"/>
    <mergeCell ref="A26:I26"/>
    <mergeCell ref="B12:I12"/>
    <mergeCell ref="B11:I11"/>
    <mergeCell ref="A42:I42"/>
    <mergeCell ref="A17:I17"/>
    <mergeCell ref="A97:I97"/>
    <mergeCell ref="A4:I4"/>
    <mergeCell ref="B8:I8"/>
    <mergeCell ref="B13:I13"/>
    <mergeCell ref="B10:I10"/>
    <mergeCell ref="B9:I9"/>
    <mergeCell ref="A15:I15"/>
    <mergeCell ref="B92:I92"/>
    <mergeCell ref="A73:I73"/>
    <mergeCell ref="A36:I36"/>
    <mergeCell ref="B95:I95"/>
    <mergeCell ref="A1:I1"/>
    <mergeCell ref="A88:I88"/>
    <mergeCell ref="B89:I89"/>
    <mergeCell ref="A61:I61"/>
    <mergeCell ref="A6:I6"/>
    <mergeCell ref="B94:I9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H18" activeCellId="0" sqref="H18"/>
    </sheetView>
  </sheetViews>
  <sheetFormatPr baseColWidth="8" defaultColWidth="8.83203125" defaultRowHeight="15" customHeight="0" zeroHeight="0" outlineLevelRow="0"/>
  <cols>
    <col width="28" customWidth="1" style="54" min="1" max="1"/>
    <col width="18" customWidth="1" style="54" min="2" max="2"/>
    <col width="10" customWidth="1" style="54" min="3" max="3"/>
    <col width="9" customWidth="1" style="54" min="4" max="4"/>
    <col width="14" customWidth="1" style="54" min="5" max="5"/>
    <col width="30" customWidth="1" style="54" min="6" max="6"/>
    <col width="28" customWidth="1" style="54" min="7" max="7"/>
    <col width="32" customWidth="1" style="54" min="8" max="8"/>
    <col width="16" customWidth="1" style="54" min="9" max="10"/>
    <col width="11" customWidth="1" style="54" min="11" max="13"/>
    <col width="16" customWidth="1" style="54" min="14" max="14"/>
    <col width="14" customWidth="1" style="54" min="15" max="15"/>
    <col width="12" customWidth="1" style="54" min="16" max="17"/>
    <col width="14" customWidth="1" style="54" min="18" max="18"/>
    <col width="20" customWidth="1" style="54" min="19" max="19"/>
    <col width="12" customWidth="1" style="54" min="20" max="20"/>
    <col width="28" customWidth="1" style="54" min="21" max="21"/>
  </cols>
  <sheetData>
    <row r="1" ht="25.5" customHeight="1" s="55">
      <c r="A1" s="56" t="inlineStr">
        <is>
          <t>Approved AI Tool Registry</t>
        </is>
      </c>
    </row>
    <row r="3" ht="18" customHeight="1" s="55">
      <c r="A3" s="60" t="inlineStr">
        <is>
          <t>Living inventory of all AI tools. Customize columns for your organization (budget codes, contract dates, cost center, etc.). Never delete rows - set Status to Decommissioned for audit trail.</t>
        </is>
      </c>
    </row>
    <row r="5" ht="18" customHeight="1" s="55">
      <c r="A5" s="59" t="inlineStr">
        <is>
          <t>Quick reference</t>
        </is>
      </c>
    </row>
    <row r="6" ht="18" customHeight="1" s="55">
      <c r="A6" s="61" t="inlineStr">
        <is>
          <t>Risk</t>
        </is>
      </c>
      <c r="B6" s="61" t="inlineStr">
        <is>
          <t>Approval</t>
        </is>
      </c>
      <c r="C6" s="61" t="inlineStr">
        <is>
          <t>Review Freq</t>
        </is>
      </c>
      <c r="D6" s="61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1" t="n"/>
      <c r="S6" s="61" t="n"/>
      <c r="T6" s="61" t="n"/>
      <c r="U6" s="61" t="n"/>
    </row>
    <row r="7" ht="18" customHeight="1" s="55">
      <c r="A7" s="67" t="inlineStr">
        <is>
          <t>Low</t>
        </is>
      </c>
      <c r="B7" s="62" t="inlineStr">
        <is>
          <t>Standard</t>
        </is>
      </c>
      <c r="C7" s="62" t="inlineStr">
        <is>
          <t>Annual</t>
        </is>
      </c>
      <c r="D7" s="62" t="n"/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  <c r="P7" s="62" t="n"/>
      <c r="Q7" s="62" t="n"/>
      <c r="R7" s="62" t="n"/>
      <c r="S7" s="62" t="n"/>
      <c r="T7" s="62" t="n"/>
      <c r="U7" s="62" t="n"/>
    </row>
    <row r="8" ht="18" customHeight="1" s="55">
      <c r="A8" s="68" t="inlineStr">
        <is>
          <t>Medium</t>
        </is>
      </c>
      <c r="B8" s="62" t="inlineStr">
        <is>
          <t>Department lead</t>
        </is>
      </c>
      <c r="C8" s="62" t="inlineStr">
        <is>
          <t>Semi-annual</t>
        </is>
      </c>
      <c r="D8" s="62" t="n"/>
      <c r="E8" s="62" t="n"/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  <c r="P8" s="62" t="n"/>
      <c r="Q8" s="62" t="n"/>
      <c r="R8" s="62" t="n"/>
      <c r="S8" s="62" t="n"/>
      <c r="T8" s="62" t="n"/>
      <c r="U8" s="62" t="n"/>
    </row>
    <row r="9" ht="18" customHeight="1" s="55">
      <c r="A9" s="69" t="inlineStr">
        <is>
          <t>High</t>
        </is>
      </c>
      <c r="B9" s="62" t="inlineStr">
        <is>
          <t>Committee</t>
        </is>
      </c>
      <c r="C9" s="62" t="inlineStr">
        <is>
          <t>Quarterly</t>
        </is>
      </c>
      <c r="D9" s="62" t="n"/>
      <c r="E9" s="62" t="n"/>
      <c r="F9" s="62" t="n"/>
      <c r="G9" s="62" t="n"/>
      <c r="H9" s="62" t="n"/>
      <c r="I9" s="62" t="n"/>
      <c r="J9" s="62" t="n"/>
      <c r="K9" s="62" t="n"/>
      <c r="L9" s="62" t="n"/>
      <c r="M9" s="62" t="n"/>
      <c r="N9" s="62" t="n"/>
      <c r="O9" s="62" t="n"/>
      <c r="P9" s="62" t="n"/>
      <c r="Q9" s="62" t="n"/>
      <c r="R9" s="62" t="n"/>
      <c r="S9" s="62" t="n"/>
      <c r="T9" s="62" t="n"/>
      <c r="U9" s="62" t="n"/>
    </row>
    <row r="10" ht="18" customHeight="1" s="55">
      <c r="A10" s="70" t="inlineStr">
        <is>
          <t>Severe</t>
        </is>
      </c>
      <c r="B10" s="62" t="inlineStr">
        <is>
          <t>Exception</t>
        </is>
      </c>
      <c r="C10" s="62" t="inlineStr">
        <is>
          <t>Monthly</t>
        </is>
      </c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  <c r="P10" s="62" t="n"/>
      <c r="Q10" s="62" t="n"/>
      <c r="R10" s="62" t="n"/>
      <c r="S10" s="62" t="n"/>
      <c r="T10" s="62" t="n"/>
      <c r="U10" s="62" t="n"/>
    </row>
    <row r="12" ht="18" customHeight="1" s="55">
      <c r="A12" s="60" t="inlineStr">
        <is>
          <t>Status legend: Active | Under Review | Suspended | Decommissioned | Exception</t>
        </is>
      </c>
    </row>
    <row r="14" ht="18" customHeight="1" s="55">
      <c r="A14" s="59" t="inlineStr">
        <is>
          <t>Tool inventory</t>
        </is>
      </c>
    </row>
    <row r="15" ht="31.5" customHeight="1" s="55">
      <c r="A15" s="61" t="inlineStr">
        <is>
          <t>Tool Name</t>
        </is>
      </c>
      <c r="B15" s="61" t="inlineStr">
        <is>
          <t>Vendor</t>
        </is>
      </c>
      <c r="C15" s="61" t="inlineStr">
        <is>
          <t>Risk</t>
        </is>
      </c>
      <c r="D15" s="61" t="inlineStr">
        <is>
          <t>Agentic?</t>
        </is>
      </c>
      <c r="E15" s="61" t="inlineStr">
        <is>
          <t>Data Class</t>
        </is>
      </c>
      <c r="F15" s="61" t="inlineStr">
        <is>
          <t>Functions</t>
        </is>
      </c>
      <c r="G15" s="61" t="inlineStr">
        <is>
          <t>Required Families</t>
        </is>
      </c>
      <c r="H15" s="61" t="inlineStr">
        <is>
          <t>Guardrails</t>
        </is>
      </c>
      <c r="I15" s="61" t="inlineStr">
        <is>
          <t>Business Owner</t>
        </is>
      </c>
      <c r="J15" s="61" t="inlineStr">
        <is>
          <t>Technical Owner</t>
        </is>
      </c>
      <c r="K15" s="61" t="inlineStr">
        <is>
          <t>Approved</t>
        </is>
      </c>
      <c r="L15" s="61" t="inlineStr">
        <is>
          <t>Last Review</t>
        </is>
      </c>
      <c r="M15" s="61" t="inlineStr">
        <is>
          <t>Next Review</t>
        </is>
      </c>
      <c r="N15" s="61" t="inlineStr">
        <is>
          <t>Status</t>
        </is>
      </c>
      <c r="O15" s="61" t="inlineStr">
        <is>
          <t>Exception #</t>
        </is>
      </c>
      <c r="P15" s="61" t="inlineStr">
        <is>
          <t>Cost Center</t>
        </is>
      </c>
      <c r="Q15" s="61" t="inlineStr">
        <is>
          <t>Contract Exp</t>
        </is>
      </c>
      <c r="R15" s="61" t="inlineStr">
        <is>
          <t>Data Residency</t>
        </is>
      </c>
      <c r="S15" s="61" t="inlineStr">
        <is>
          <t>Regulatory Scope</t>
        </is>
      </c>
      <c r="T15" s="61" t="inlineStr">
        <is>
          <t>Annual Spend</t>
        </is>
      </c>
      <c r="U15" s="61" t="inlineStr">
        <is>
          <t>Notes</t>
        </is>
      </c>
    </row>
    <row r="16" ht="31.5" customHeight="1" s="55">
      <c r="A16" s="62" t="inlineStr">
        <is>
          <t>ChatGPT Enterprise</t>
        </is>
      </c>
      <c r="B16" s="62" t="inlineStr">
        <is>
          <t>OpenAI</t>
        </is>
      </c>
      <c r="C16" s="68" t="inlineStr">
        <is>
          <t>Medium</t>
        </is>
      </c>
      <c r="D16" s="62" t="inlineStr">
        <is>
          <t>No</t>
        </is>
      </c>
      <c r="E16" s="62" t="inlineStr">
        <is>
          <t>Internal</t>
        </is>
      </c>
      <c r="F16" s="62" t="inlineStr">
        <is>
          <t>Content gen, Q&amp;A</t>
        </is>
      </c>
      <c r="G16" s="71" t="inlineStr">
        <is>
          <t>Posture, Runtime, Observability</t>
        </is>
      </c>
      <c r="H16" s="62" t="inlineStr">
        <is>
          <t>Input validation, Output filter, Audit log</t>
        </is>
      </c>
      <c r="I16" s="62" t="inlineStr">
        <is>
          <t>Marketing</t>
        </is>
      </c>
      <c r="J16" s="62" t="inlineStr">
        <is>
          <t>IT-Security</t>
        </is>
      </c>
      <c r="K16" s="62" t="inlineStr">
        <is>
          <t>2025-11-15</t>
        </is>
      </c>
      <c r="L16" s="62" t="inlineStr">
        <is>
          <t>2025-11-15</t>
        </is>
      </c>
      <c r="M16" s="62" t="inlineStr">
        <is>
          <t>2026-05-15</t>
        </is>
      </c>
      <c r="N16" s="67" t="inlineStr">
        <is>
          <t>Active</t>
        </is>
      </c>
      <c r="O16" s="62" t="n"/>
      <c r="P16" s="62" t="inlineStr">
        <is>
          <t>MKT-100</t>
        </is>
      </c>
      <c r="Q16" s="62" t="inlineStr">
        <is>
          <t>2026-11-14</t>
        </is>
      </c>
      <c r="R16" s="62" t="inlineStr">
        <is>
          <t>US</t>
        </is>
      </c>
      <c r="S16" s="62" t="inlineStr">
        <is>
          <t>SOC 2, ISO 27001</t>
        </is>
      </c>
      <c r="T16" s="62" t="inlineStr">
        <is>
          <t>$100K</t>
        </is>
      </c>
      <c r="U16" s="62" t="inlineStr">
        <is>
          <t>SSO enabled via Entra</t>
        </is>
      </c>
    </row>
    <row r="17" ht="31.5" customHeight="1" s="55">
      <c r="A17" s="62" t="inlineStr">
        <is>
          <t>GitHub Copilot Enterprise</t>
        </is>
      </c>
      <c r="B17" s="62" t="inlineStr">
        <is>
          <t>Microsoft</t>
        </is>
      </c>
      <c r="C17" s="68" t="inlineStr">
        <is>
          <t>Medium</t>
        </is>
      </c>
      <c r="D17" s="62" t="inlineStr">
        <is>
          <t>Yes</t>
        </is>
      </c>
      <c r="E17" s="62" t="inlineStr">
        <is>
          <t>Confidential</t>
        </is>
      </c>
      <c r="F17" s="62" t="inlineStr">
        <is>
          <t>Code gen, code review, coding agent</t>
        </is>
      </c>
      <c r="G17" s="71" t="inlineStr">
        <is>
          <t>Posture, Runtime, Data Protection, Supply Chain</t>
        </is>
      </c>
      <c r="H17" s="62" t="inlineStr">
        <is>
          <t>Input validation, DLP, code scanning, agent token scoping</t>
        </is>
      </c>
      <c r="I17" s="62" t="inlineStr">
        <is>
          <t>Engineering</t>
        </is>
      </c>
      <c r="J17" s="62" t="inlineStr">
        <is>
          <t>DevSecOps</t>
        </is>
      </c>
      <c r="K17" s="62" t="inlineStr">
        <is>
          <t>2025-10-01</t>
        </is>
      </c>
      <c r="L17" s="62" t="inlineStr">
        <is>
          <t>2026-01-15</t>
        </is>
      </c>
      <c r="M17" s="62" t="inlineStr">
        <is>
          <t>2026-04-15</t>
        </is>
      </c>
      <c r="N17" s="67" t="inlineStr">
        <is>
          <t>Active</t>
        </is>
      </c>
      <c r="O17" s="62" t="n"/>
      <c r="P17" s="62" t="inlineStr">
        <is>
          <t>ENG-200</t>
        </is>
      </c>
      <c r="Q17" s="62" t="inlineStr">
        <is>
          <t>2026-09-30</t>
        </is>
      </c>
      <c r="R17" s="62" t="inlineStr">
        <is>
          <t>US/EU</t>
        </is>
      </c>
      <c r="S17" s="62" t="inlineStr">
        <is>
          <t>SOC 2</t>
        </is>
      </c>
      <c r="T17" s="62" t="inlineStr">
        <is>
          <t>$480K</t>
        </is>
      </c>
      <c r="U17" s="62" t="inlineStr">
        <is>
          <t>Enterprise tier; content exclusions configured</t>
        </is>
      </c>
    </row>
    <row r="18" ht="31.5" customHeight="1" s="55">
      <c r="A18" s="62" t="inlineStr">
        <is>
          <t>Claude Enterprise</t>
        </is>
      </c>
      <c r="B18" s="62" t="inlineStr">
        <is>
          <t>Anthropic</t>
        </is>
      </c>
      <c r="C18" s="68" t="inlineStr">
        <is>
          <t>Medium</t>
        </is>
      </c>
      <c r="D18" s="62" t="inlineStr">
        <is>
          <t>Yes</t>
        </is>
      </c>
      <c r="E18" s="62" t="inlineStr">
        <is>
          <t>Confidential</t>
        </is>
      </c>
      <c r="F18" s="62" t="inlineStr">
        <is>
          <t>Content gen, RAG, MCP connectors</t>
        </is>
      </c>
      <c r="G18" s="71" t="inlineStr">
        <is>
          <t>Posture, Runtime, Data Protection, NHI, Supply Chain</t>
        </is>
      </c>
      <c r="H18" s="62" t="inlineStr">
        <is>
          <t>Training opt-out, MCP allowlist, CASB DLP</t>
        </is>
      </c>
      <c r="I18" s="62" t="inlineStr">
        <is>
          <t>Research</t>
        </is>
      </c>
      <c r="J18" s="62" t="inlineStr">
        <is>
          <t>IT-Security</t>
        </is>
      </c>
      <c r="K18" s="62" t="inlineStr">
        <is>
          <t>2026-01-20</t>
        </is>
      </c>
      <c r="L18" s="62" t="inlineStr">
        <is>
          <t>2026-03-15</t>
        </is>
      </c>
      <c r="M18" s="62" t="inlineStr">
        <is>
          <t>2026-09-15</t>
        </is>
      </c>
      <c r="N18" s="67" t="inlineStr">
        <is>
          <t>Active</t>
        </is>
      </c>
      <c r="O18" s="62" t="n"/>
      <c r="P18" s="62" t="inlineStr">
        <is>
          <t>R&amp;D-300</t>
        </is>
      </c>
      <c r="Q18" s="62" t="inlineStr">
        <is>
          <t>2027-01-19</t>
        </is>
      </c>
      <c r="R18" s="62" t="inlineStr">
        <is>
          <t>US/EU</t>
        </is>
      </c>
      <c r="S18" s="62" t="inlineStr">
        <is>
          <t>SOC 2</t>
        </is>
      </c>
      <c r="T18" s="62" t="inlineStr">
        <is>
          <t>$220K</t>
        </is>
      </c>
      <c r="U18" s="62" t="inlineStr">
        <is>
          <t>MCP connector allowlist; memory disabled for regulated users</t>
        </is>
      </c>
    </row>
    <row r="19" ht="31.5" customHeight="1" s="55">
      <c r="A19" s="62" t="inlineStr">
        <is>
          <t>AWS Bedrock (Claude + Llama)</t>
        </is>
      </c>
      <c r="B19" s="62" t="inlineStr">
        <is>
          <t>AWS</t>
        </is>
      </c>
      <c r="C19" s="69" t="inlineStr">
        <is>
          <t>High</t>
        </is>
      </c>
      <c r="D19" s="62" t="inlineStr">
        <is>
          <t>Yes</t>
        </is>
      </c>
      <c r="E19" s="62" t="inlineStr">
        <is>
          <t>PII/Regulated</t>
        </is>
      </c>
      <c r="F19" s="62" t="inlineStr">
        <is>
          <t>LLM via API, Bedrock Agents, RAG</t>
        </is>
      </c>
      <c r="G19" s="62" t="inlineStr">
        <is>
          <t>All 7 families</t>
        </is>
      </c>
      <c r="H19" s="62" t="inlineStr">
        <is>
          <t>All High+ guardrails; VPC endpoint; Guardrails on every invocation</t>
        </is>
      </c>
      <c r="I19" s="62" t="inlineStr">
        <is>
          <t>Platform Eng</t>
        </is>
      </c>
      <c r="J19" s="62" t="inlineStr">
        <is>
          <t>Cloud Sec</t>
        </is>
      </c>
      <c r="K19" s="62" t="inlineStr">
        <is>
          <t>2026-02-10</t>
        </is>
      </c>
      <c r="L19" s="62" t="inlineStr">
        <is>
          <t>2026-02-10</t>
        </is>
      </c>
      <c r="M19" s="62" t="inlineStr">
        <is>
          <t>2026-05-10</t>
        </is>
      </c>
      <c r="N19" s="67" t="inlineStr">
        <is>
          <t>Active</t>
        </is>
      </c>
      <c r="O19" s="62" t="n"/>
      <c r="P19" s="62" t="inlineStr">
        <is>
          <t>PLAT-400</t>
        </is>
      </c>
      <c r="Q19" s="62" t="inlineStr">
        <is>
          <t>N/A (platform)</t>
        </is>
      </c>
      <c r="R19" s="62" t="inlineStr">
        <is>
          <t>US</t>
        </is>
      </c>
      <c r="S19" s="62" t="inlineStr">
        <is>
          <t>SOC 2, ISO 27001, HIPAA-eligible</t>
        </is>
      </c>
      <c r="T19" s="62" t="inlineStr">
        <is>
          <t>$1.2M</t>
        </is>
      </c>
      <c r="U19" s="62" t="inlineStr">
        <is>
          <t>VPC-only via SCP; CloudTrail → SIEM; CMK on all</t>
        </is>
      </c>
    </row>
    <row r="20" ht="45.75" customHeight="1" s="55">
      <c r="A20" s="62" t="inlineStr">
        <is>
          <t>Custom Internal ML Model</t>
        </is>
      </c>
      <c r="B20" s="62" t="inlineStr">
        <is>
          <t>Internal</t>
        </is>
      </c>
      <c r="C20" s="69" t="inlineStr">
        <is>
          <t>High</t>
        </is>
      </c>
      <c r="D20" s="62" t="inlineStr">
        <is>
          <t>No</t>
        </is>
      </c>
      <c r="E20" s="62" t="inlineStr">
        <is>
          <t>PII/Regulated</t>
        </is>
      </c>
      <c r="F20" s="62" t="inlineStr">
        <is>
          <t>Customer predictions</t>
        </is>
      </c>
      <c r="G20" s="71" t="inlineStr">
        <is>
          <t>Posture, Runtime, Observability, Data Protection, Supply Chain</t>
        </is>
      </c>
      <c r="H20" s="62" t="inlineStr">
        <is>
          <t>All High+ guardrails; red-team quarterly</t>
        </is>
      </c>
      <c r="I20" s="62" t="inlineStr">
        <is>
          <t>Data Science</t>
        </is>
      </c>
      <c r="J20" s="62" t="inlineStr">
        <is>
          <t>ML Platform</t>
        </is>
      </c>
      <c r="K20" s="62" t="inlineStr">
        <is>
          <t>2025-09-01</t>
        </is>
      </c>
      <c r="L20" s="62" t="inlineStr">
        <is>
          <t>2026-01-15</t>
        </is>
      </c>
      <c r="M20" s="62" t="inlineStr">
        <is>
          <t>2026-04-15</t>
        </is>
      </c>
      <c r="N20" s="67" t="inlineStr">
        <is>
          <t>Active</t>
        </is>
      </c>
      <c r="O20" s="62" t="n"/>
      <c r="P20" s="62" t="inlineStr">
        <is>
          <t>DS-500</t>
        </is>
      </c>
      <c r="Q20" s="62" t="inlineStr">
        <is>
          <t>N/A</t>
        </is>
      </c>
      <c r="R20" s="62" t="inlineStr">
        <is>
          <t>US</t>
        </is>
      </c>
      <c r="S20" s="62" t="inlineStr">
        <is>
          <t>SOC 2, SR 11-7</t>
        </is>
      </c>
      <c r="T20" s="62" t="inlineStr">
        <is>
          <t>$850K</t>
        </is>
      </c>
      <c r="U20" s="62" t="inlineStr">
        <is>
          <t>Model Registry; signed artifacts; Model Monitor enabled</t>
        </is>
      </c>
    </row>
    <row r="21" ht="31.5" customHeight="1" s="55">
      <c r="A21" s="62" t="inlineStr">
        <is>
          <t>Autonomous Agent (pilot)</t>
        </is>
      </c>
      <c r="B21" s="62" t="inlineStr">
        <is>
          <t>Vendor X</t>
        </is>
      </c>
      <c r="C21" s="70" t="inlineStr">
        <is>
          <t>Severe</t>
        </is>
      </c>
      <c r="D21" s="62" t="inlineStr">
        <is>
          <t>Yes</t>
        </is>
      </c>
      <c r="E21" s="62" t="inlineStr">
        <is>
          <t>Confidential</t>
        </is>
      </c>
      <c r="F21" s="62" t="inlineStr">
        <is>
          <t>Task automation, external API calls, RAG</t>
        </is>
      </c>
      <c r="G21" s="62" t="inlineStr">
        <is>
          <t>All 7 families</t>
        </is>
      </c>
      <c r="H21" s="62" t="inlineStr">
        <is>
          <t>All Severe guardrails; HITL for all external actions; 24/7 monitor</t>
        </is>
      </c>
      <c r="I21" s="62" t="inlineStr">
        <is>
          <t>Operations</t>
        </is>
      </c>
      <c r="J21" s="62" t="inlineStr">
        <is>
          <t>Security</t>
        </is>
      </c>
      <c r="K21" s="62" t="inlineStr">
        <is>
          <t>2026-02-01</t>
        </is>
      </c>
      <c r="L21" s="62" t="inlineStr">
        <is>
          <t>2026-03-01</t>
        </is>
      </c>
      <c r="M21" s="62" t="inlineStr">
        <is>
          <t>2026-04-01</t>
        </is>
      </c>
      <c r="N21" s="67" t="inlineStr">
        <is>
          <t>Active</t>
        </is>
      </c>
      <c r="O21" s="62" t="inlineStr">
        <is>
          <t>EXC-2026-001</t>
        </is>
      </c>
      <c r="P21" s="62" t="inlineStr">
        <is>
          <t>OPS-600</t>
        </is>
      </c>
      <c r="Q21" s="62" t="inlineStr">
        <is>
          <t>2026-08-01</t>
        </is>
      </c>
      <c r="R21" s="62" t="inlineStr">
        <is>
          <t>US</t>
        </is>
      </c>
      <c r="S21" s="62" t="inlineStr">
        <is>
          <t>SOC 2</t>
        </is>
      </c>
      <c r="T21" s="62" t="inlineStr">
        <is>
          <t>$400K</t>
        </is>
      </c>
      <c r="U21" s="62" t="inlineStr">
        <is>
          <t>Monthly review; kill switch tested quarterly</t>
        </is>
      </c>
    </row>
    <row r="22" ht="31.5" customHeight="1" s="55">
      <c r="A22" s="62" t="inlineStr">
        <is>
          <t>MCP Server: Slack Connector</t>
        </is>
      </c>
      <c r="B22" s="62" t="inlineStr">
        <is>
          <t>Anthropic</t>
        </is>
      </c>
      <c r="C22" s="69" t="inlineStr">
        <is>
          <t>High</t>
        </is>
      </c>
      <c r="D22" s="62" t="inlineStr">
        <is>
          <t>Yes</t>
        </is>
      </c>
      <c r="E22" s="62" t="inlineStr">
        <is>
          <t>Internal</t>
        </is>
      </c>
      <c r="F22" s="62" t="inlineStr">
        <is>
          <t>Agent tool for Slack read/write</t>
        </is>
      </c>
      <c r="G22" s="72" t="inlineStr">
        <is>
          <t>Runtime, NHI, Supply Chain</t>
        </is>
      </c>
      <c r="H22" s="62" t="inlineStr">
        <is>
          <t>MCP signing verified, scope to approved channels, per-call auth</t>
        </is>
      </c>
      <c r="I22" s="62" t="inlineStr">
        <is>
          <t>IT Ops</t>
        </is>
      </c>
      <c r="J22" s="62" t="inlineStr">
        <is>
          <t>Security Eng</t>
        </is>
      </c>
      <c r="K22" s="62" t="inlineStr">
        <is>
          <t>2026-03-10</t>
        </is>
      </c>
      <c r="L22" s="62" t="inlineStr">
        <is>
          <t>2026-03-10</t>
        </is>
      </c>
      <c r="M22" s="62" t="inlineStr">
        <is>
          <t>2026-06-10</t>
        </is>
      </c>
      <c r="N22" s="67" t="inlineStr">
        <is>
          <t>Active</t>
        </is>
      </c>
      <c r="O22" s="62" t="n"/>
      <c r="P22" s="62" t="inlineStr">
        <is>
          <t>IT-700</t>
        </is>
      </c>
      <c r="Q22" s="62" t="inlineStr">
        <is>
          <t>N/A</t>
        </is>
      </c>
      <c r="R22" s="62" t="inlineStr">
        <is>
          <t>US</t>
        </is>
      </c>
      <c r="S22" s="62" t="inlineStr">
        <is>
          <t>SOC 2</t>
        </is>
      </c>
      <c r="T22" s="62" t="inlineStr">
        <is>
          <t>$0 (OSS MCP)</t>
        </is>
      </c>
      <c r="U22" s="62" t="inlineStr">
        <is>
          <t>Vendor-signed MCP from Anthropic registry</t>
        </is>
      </c>
    </row>
    <row r="23" ht="31.5" customHeight="1" s="55">
      <c r="A23" s="62" t="inlineStr">
        <is>
          <t>LangChain / LangGraph</t>
        </is>
      </c>
      <c r="B23" s="62" t="inlineStr">
        <is>
          <t>OSS</t>
        </is>
      </c>
      <c r="C23" s="69" t="inlineStr">
        <is>
          <t>High</t>
        </is>
      </c>
      <c r="D23" s="62" t="inlineStr">
        <is>
          <t>Yes</t>
        </is>
      </c>
      <c r="E23" s="62" t="inlineStr">
        <is>
          <t>Internal</t>
        </is>
      </c>
      <c r="F23" s="62" t="inlineStr">
        <is>
          <t>Agent orchestration framework</t>
        </is>
      </c>
      <c r="G23" s="72" t="inlineStr">
        <is>
          <t>Runtime, NHI, Observability, Supply Chain</t>
        </is>
      </c>
      <c r="H23" s="62" t="inlineStr">
        <is>
          <t>Signed deps, LangSmith observability, cost ceiling</t>
        </is>
      </c>
      <c r="I23" s="62" t="inlineStr">
        <is>
          <t>Platform Eng</t>
        </is>
      </c>
      <c r="J23" s="62" t="inlineStr">
        <is>
          <t>DevSecOps</t>
        </is>
      </c>
      <c r="K23" s="62" t="inlineStr">
        <is>
          <t>2026-01-05</t>
        </is>
      </c>
      <c r="L23" s="62" t="inlineStr">
        <is>
          <t>2026-03-05</t>
        </is>
      </c>
      <c r="M23" s="62" t="inlineStr">
        <is>
          <t>2026-06-05</t>
        </is>
      </c>
      <c r="N23" s="67" t="inlineStr">
        <is>
          <t>Active</t>
        </is>
      </c>
      <c r="O23" s="62" t="n"/>
      <c r="P23" s="62" t="inlineStr">
        <is>
          <t>PLAT-401</t>
        </is>
      </c>
      <c r="Q23" s="62" t="inlineStr">
        <is>
          <t>N/A</t>
        </is>
      </c>
      <c r="R23" s="62" t="inlineStr">
        <is>
          <t>Self-hosted</t>
        </is>
      </c>
      <c r="S23" s="62" t="inlineStr">
        <is>
          <t>SOC 2</t>
        </is>
      </c>
      <c r="T23" s="62" t="inlineStr">
        <is>
          <t>$120K (hosted LangSmith)</t>
        </is>
      </c>
      <c r="U23" s="62" t="inlineStr">
        <is>
          <t>OSS supply chain scanned via Snyk</t>
        </is>
      </c>
    </row>
    <row r="24" ht="31.5" customHeight="1" s="55">
      <c r="A24" s="62" t="inlineStr">
        <is>
          <t>Pinecone (RAG Vector DB)</t>
        </is>
      </c>
      <c r="B24" s="62" t="inlineStr">
        <is>
          <t>Pinecone</t>
        </is>
      </c>
      <c r="C24" s="69" t="inlineStr">
        <is>
          <t>High</t>
        </is>
      </c>
      <c r="D24" s="62" t="inlineStr">
        <is>
          <t>No</t>
        </is>
      </c>
      <c r="E24" s="62" t="inlineStr">
        <is>
          <t>Confidential</t>
        </is>
      </c>
      <c r="F24" s="62" t="inlineStr">
        <is>
          <t>Vector DB for RAG</t>
        </is>
      </c>
      <c r="G24" s="75" t="inlineStr">
        <is>
          <t>Data Protection, Posture, NHI</t>
        </is>
      </c>
      <c r="H24" s="62" t="inlineStr">
        <is>
          <t>Private Link, CMK, scoped keys, no PII in embeddings</t>
        </is>
      </c>
      <c r="I24" s="62" t="inlineStr">
        <is>
          <t>Data Platform</t>
        </is>
      </c>
      <c r="J24" s="62" t="inlineStr">
        <is>
          <t>Cloud Sec</t>
        </is>
      </c>
      <c r="K24" s="62" t="inlineStr">
        <is>
          <t>2025-12-15</t>
        </is>
      </c>
      <c r="L24" s="62" t="inlineStr">
        <is>
          <t>2026-02-20</t>
        </is>
      </c>
      <c r="M24" s="62" t="inlineStr">
        <is>
          <t>2026-05-20</t>
        </is>
      </c>
      <c r="N24" s="67" t="inlineStr">
        <is>
          <t>Active</t>
        </is>
      </c>
      <c r="O24" s="62" t="n"/>
      <c r="P24" s="62" t="inlineStr">
        <is>
          <t>DATA-800</t>
        </is>
      </c>
      <c r="Q24" s="62" t="inlineStr">
        <is>
          <t>2026-12-14</t>
        </is>
      </c>
      <c r="R24" s="62" t="inlineStr">
        <is>
          <t>US</t>
        </is>
      </c>
      <c r="S24" s="62" t="inlineStr">
        <is>
          <t>SOC 2</t>
        </is>
      </c>
      <c r="T24" s="62" t="inlineStr">
        <is>
          <t>$180K</t>
        </is>
      </c>
      <c r="U24" s="62" t="inlineStr">
        <is>
          <t>Enterprise tier with Private Link</t>
        </is>
      </c>
    </row>
    <row r="25" ht="31.5" customHeight="1" s="55">
      <c r="A25" s="62" t="inlineStr">
        <is>
          <t>Legacy Support Chatbot</t>
        </is>
      </c>
      <c r="B25" s="62" t="inlineStr">
        <is>
          <t>Vendor Y</t>
        </is>
      </c>
      <c r="C25" s="68" t="inlineStr">
        <is>
          <t>Medium</t>
        </is>
      </c>
      <c r="D25" s="62" t="inlineStr">
        <is>
          <t>No</t>
        </is>
      </c>
      <c r="E25" s="62" t="inlineStr">
        <is>
          <t>Internal</t>
        </is>
      </c>
      <c r="F25" s="62" t="inlineStr">
        <is>
          <t>Q&amp;A on internal docs</t>
        </is>
      </c>
      <c r="G25" s="71" t="inlineStr">
        <is>
          <t>Posture, Runtime, Observability</t>
        </is>
      </c>
      <c r="H25" s="62" t="inlineStr">
        <is>
          <t>Standard Med+ guardrails</t>
        </is>
      </c>
      <c r="I25" s="62" t="inlineStr">
        <is>
          <t>Support</t>
        </is>
      </c>
      <c r="J25" s="62" t="inlineStr">
        <is>
          <t>IT Ops</t>
        </is>
      </c>
      <c r="K25" s="62" t="inlineStr">
        <is>
          <t>2025-06-01</t>
        </is>
      </c>
      <c r="L25" s="62" t="inlineStr">
        <is>
          <t>2025-12-01</t>
        </is>
      </c>
      <c r="M25" s="62" t="inlineStr">
        <is>
          <t>2026-06-01</t>
        </is>
      </c>
      <c r="N25" s="69" t="inlineStr">
        <is>
          <t>Suspended</t>
        </is>
      </c>
      <c r="O25" s="62" t="n"/>
      <c r="P25" s="62" t="inlineStr">
        <is>
          <t>SUP-900</t>
        </is>
      </c>
      <c r="Q25" s="62" t="inlineStr">
        <is>
          <t>2026-05-31</t>
        </is>
      </c>
      <c r="R25" s="62" t="inlineStr">
        <is>
          <t>US</t>
        </is>
      </c>
      <c r="S25" s="62" t="n"/>
      <c r="T25" s="62" t="inlineStr">
        <is>
          <t>$24K</t>
        </is>
      </c>
      <c r="U25" s="62" t="inlineStr">
        <is>
          <t>DLP rule failed audit; remediation in progress</t>
        </is>
      </c>
    </row>
  </sheetData>
  <autoFilter ref="A15:U25"/>
  <mergeCells count="5">
    <mergeCell ref="A12:U12"/>
    <mergeCell ref="A5:U5"/>
    <mergeCell ref="A14:U14"/>
    <mergeCell ref="A1:U1"/>
    <mergeCell ref="A3:U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O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39" activeCellId="0" sqref="F39"/>
    </sheetView>
  </sheetViews>
  <sheetFormatPr baseColWidth="8" defaultColWidth="8.83203125" defaultRowHeight="15" customHeight="0" zeroHeight="0" outlineLevelRow="0"/>
  <cols>
    <col width="14" customWidth="1" style="54" min="1" max="1"/>
    <col width="24" customWidth="1" style="54" min="2" max="2"/>
    <col width="20" customWidth="1" style="54" min="3" max="3"/>
    <col width="9" customWidth="1" style="54" min="4" max="4"/>
    <col width="24" customWidth="1" style="54" min="5" max="7"/>
    <col width="12" customWidth="1" style="54" min="8" max="8"/>
    <col width="20" customWidth="1" style="54" min="9" max="9"/>
    <col width="11" customWidth="1" style="54" min="10" max="12"/>
    <col width="12" customWidth="1" style="54" min="13" max="13"/>
    <col width="24" customWidth="1" style="54" min="14" max="14"/>
    <col width="14" customWidth="1" style="54" min="15" max="15"/>
  </cols>
  <sheetData>
    <row r="1" ht="25.5" customHeight="1" s="55">
      <c r="A1" s="56" t="inlineStr">
        <is>
          <t>AI Tool Exception Tracker</t>
        </is>
      </c>
    </row>
    <row r="3" ht="18" customHeight="1" s="55">
      <c r="A3" s="60" t="inlineStr">
        <is>
          <t>Track exceptions for Severe-risk tools, guardrail deviations, and emergency use. Links to Governance Guide §4. Votes recorded for audit trail.</t>
        </is>
      </c>
    </row>
    <row r="5" ht="18" customHeight="1" s="55">
      <c r="A5" s="59" t="inlineStr">
        <is>
          <t>1. Exception types</t>
        </is>
      </c>
    </row>
    <row r="6" ht="31.5" customHeight="1" s="55">
      <c r="A6" s="61" t="inlineStr">
        <is>
          <t>Type</t>
        </is>
      </c>
      <c r="B6" s="61" t="inlineStr">
        <is>
          <t>Description</t>
        </is>
      </c>
      <c r="C6" s="61" t="inlineStr">
        <is>
          <t>Approval Required</t>
        </is>
      </c>
      <c r="D6" s="61" t="inlineStr">
        <is>
          <t>Max Duration</t>
        </is>
      </c>
      <c r="E6" s="61" t="inlineStr">
        <is>
          <t>Renewal</t>
        </is>
      </c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</row>
    <row r="7" ht="31.5" customHeight="1" s="55">
      <c r="A7" s="62" t="inlineStr">
        <is>
          <t>Severe Tool</t>
        </is>
      </c>
      <c r="B7" s="62" t="inlineStr">
        <is>
          <t>Severe-risk tool approval (prohibited by default)</t>
        </is>
      </c>
      <c r="C7" s="62" t="inlineStr">
        <is>
          <t>CISO + Committee + Executive</t>
        </is>
      </c>
      <c r="D7" s="62" t="inlineStr">
        <is>
          <t>12 months</t>
        </is>
      </c>
      <c r="E7" s="62" t="inlineStr">
        <is>
          <t>Required</t>
        </is>
      </c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2" t="n"/>
    </row>
    <row r="8" ht="31.5" customHeight="1" s="55">
      <c r="A8" s="62" t="inlineStr">
        <is>
          <t>Guardrail Bypass</t>
        </is>
      </c>
      <c r="B8" s="62" t="inlineStr">
        <is>
          <t>Specific guardrail cannot be implemented</t>
        </is>
      </c>
      <c r="C8" s="62" t="inlineStr">
        <is>
          <t>Committee</t>
        </is>
      </c>
      <c r="D8" s="62" t="inlineStr">
        <is>
          <t>6 months</t>
        </is>
      </c>
      <c r="E8" s="62" t="inlineStr">
        <is>
          <t>Required</t>
        </is>
      </c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2" t="n"/>
    </row>
    <row r="9" ht="31.5" customHeight="1" s="55">
      <c r="A9" s="62" t="inlineStr">
        <is>
          <t>Vendor Risk</t>
        </is>
      </c>
      <c r="B9" s="62" t="inlineStr">
        <is>
          <t>Vendor doesn't meet security assessment criteria</t>
        </is>
      </c>
      <c r="C9" s="62" t="inlineStr">
        <is>
          <t>Committee + Legal</t>
        </is>
      </c>
      <c r="D9" s="62" t="inlineStr">
        <is>
          <t>6 months</t>
        </is>
      </c>
      <c r="E9" s="62" t="inlineStr">
        <is>
          <t>Required</t>
        </is>
      </c>
      <c r="F9" s="62" t="n"/>
      <c r="G9" s="62" t="n"/>
      <c r="H9" s="62" t="n"/>
      <c r="I9" s="62" t="n"/>
      <c r="J9" s="62" t="n"/>
      <c r="K9" s="62" t="n"/>
      <c r="L9" s="62" t="n"/>
      <c r="M9" s="62" t="n"/>
      <c r="N9" s="62" t="n"/>
      <c r="O9" s="62" t="n"/>
    </row>
    <row r="10" ht="31.5" customHeight="1" s="55">
      <c r="A10" s="62" t="inlineStr">
        <is>
          <t>Compliance Gap</t>
        </is>
      </c>
      <c r="B10" s="62" t="inlineStr">
        <is>
          <t>Framework control cannot be satisfied</t>
        </is>
      </c>
      <c r="C10" s="62" t="inlineStr">
        <is>
          <t>Committee + Compliance</t>
        </is>
      </c>
      <c r="D10" s="62" t="inlineStr">
        <is>
          <t>Until remediated</t>
        </is>
      </c>
      <c r="E10" s="62" t="inlineStr">
        <is>
          <t>Review at 90 days</t>
        </is>
      </c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2" t="n"/>
    </row>
    <row r="11" ht="31.5" customHeight="1" s="55">
      <c r="A11" s="62" t="inlineStr">
        <is>
          <t>Emergency Use</t>
        </is>
      </c>
      <c r="B11" s="62" t="inlineStr">
        <is>
          <t>Urgent business need; expedited review</t>
        </is>
      </c>
      <c r="C11" s="62" t="inlineStr">
        <is>
          <t>CISO (48-hour retroactive)</t>
        </is>
      </c>
      <c r="D11" s="62" t="inlineStr">
        <is>
          <t>30 days</t>
        </is>
      </c>
      <c r="E11" s="62" t="inlineStr">
        <is>
          <t>Convert or close</t>
        </is>
      </c>
      <c r="F11" s="62" t="n"/>
      <c r="G11" s="62" t="n"/>
      <c r="H11" s="62" t="n"/>
      <c r="I11" s="62" t="n"/>
      <c r="J11" s="62" t="n"/>
      <c r="K11" s="62" t="n"/>
      <c r="L11" s="62" t="n"/>
      <c r="M11" s="62" t="n"/>
      <c r="N11" s="62" t="n"/>
      <c r="O11" s="62" t="n"/>
    </row>
    <row r="12" ht="45.75" customHeight="1" s="55">
      <c r="A12" s="62" t="inlineStr">
        <is>
          <t>Model Version Exception (new)</t>
        </is>
      </c>
      <c r="B12" s="62" t="inlineStr">
        <is>
          <t>New model version deployed before full eval suite passes</t>
        </is>
      </c>
      <c r="C12" s="62" t="inlineStr">
        <is>
          <t>Security + Platform Lead</t>
        </is>
      </c>
      <c r="D12" s="62" t="inlineStr">
        <is>
          <t>14 days</t>
        </is>
      </c>
      <c r="E12" s="62" t="inlineStr">
        <is>
          <t>Convert on eval pass</t>
        </is>
      </c>
      <c r="F12" s="62" t="n"/>
      <c r="G12" s="62" t="n"/>
      <c r="H12" s="62" t="n"/>
      <c r="I12" s="62" t="n"/>
      <c r="J12" s="62" t="n"/>
      <c r="K12" s="62" t="n"/>
      <c r="L12" s="62" t="n"/>
      <c r="M12" s="62" t="n"/>
      <c r="N12" s="62" t="n"/>
      <c r="O12" s="62" t="n"/>
    </row>
    <row r="13" ht="31.5" customHeight="1" s="55">
      <c r="A13" s="62" t="inlineStr">
        <is>
          <t>Agentic Pilot (new)</t>
        </is>
      </c>
      <c r="B13" s="62" t="inlineStr">
        <is>
          <t>Agentic tool in pilot with restricted user cohort</t>
        </is>
      </c>
      <c r="C13" s="62" t="inlineStr">
        <is>
          <t>Committee</t>
        </is>
      </c>
      <c r="D13" s="62" t="inlineStr">
        <is>
          <t>60 days</t>
        </is>
      </c>
      <c r="E13" s="62" t="inlineStr">
        <is>
          <t>Convert or decommission</t>
        </is>
      </c>
      <c r="F13" s="62" t="n"/>
      <c r="G13" s="62" t="n"/>
      <c r="H13" s="62" t="n"/>
      <c r="I13" s="62" t="n"/>
      <c r="J13" s="62" t="n"/>
      <c r="K13" s="62" t="n"/>
      <c r="L13" s="62" t="n"/>
      <c r="M13" s="62" t="n"/>
      <c r="N13" s="62" t="n"/>
      <c r="O13" s="62" t="n"/>
    </row>
    <row r="15" ht="18" customHeight="1" s="55">
      <c r="A15" s="59" t="inlineStr">
        <is>
          <t>Status legend</t>
        </is>
      </c>
    </row>
    <row r="16" ht="18" customHeight="1" s="55">
      <c r="A16" s="62" t="inlineStr">
        <is>
          <t>Active</t>
        </is>
      </c>
      <c r="B16" s="62" t="inlineStr">
        <is>
          <t>Exception currently in effect; controls monitored</t>
        </is>
      </c>
      <c r="C16" s="65" t="n"/>
      <c r="D16" s="65" t="n"/>
      <c r="E16" s="65" t="n"/>
      <c r="F16" s="65" t="n"/>
      <c r="G16" s="65" t="n"/>
      <c r="H16" s="65" t="n"/>
      <c r="I16" s="65" t="n"/>
      <c r="J16" s="65" t="n"/>
      <c r="K16" s="65" t="n"/>
      <c r="L16" s="65" t="n"/>
      <c r="M16" s="65" t="n"/>
      <c r="N16" s="65" t="n"/>
      <c r="O16" s="66" t="n"/>
    </row>
    <row r="17" ht="18" customHeight="1" s="55">
      <c r="A17" s="62" t="inlineStr">
        <is>
          <t>Renewal Due</t>
        </is>
      </c>
      <c r="B17" s="62" t="inlineStr">
        <is>
          <t>Expiration within 30 days; renewal required</t>
        </is>
      </c>
      <c r="C17" s="65" t="n"/>
      <c r="D17" s="65" t="n"/>
      <c r="E17" s="65" t="n"/>
      <c r="F17" s="65" t="n"/>
      <c r="G17" s="65" t="n"/>
      <c r="H17" s="65" t="n"/>
      <c r="I17" s="65" t="n"/>
      <c r="J17" s="65" t="n"/>
      <c r="K17" s="65" t="n"/>
      <c r="L17" s="65" t="n"/>
      <c r="M17" s="65" t="n"/>
      <c r="N17" s="65" t="n"/>
      <c r="O17" s="66" t="n"/>
    </row>
    <row r="18" ht="18" customHeight="1" s="55">
      <c r="A18" s="62" t="inlineStr">
        <is>
          <t>Expired</t>
        </is>
      </c>
      <c r="B18" s="62" t="inlineStr">
        <is>
          <t>Exception expired; tool must be decommissioned or re-approved</t>
        </is>
      </c>
      <c r="C18" s="65" t="n"/>
      <c r="D18" s="65" t="n"/>
      <c r="E18" s="65" t="n"/>
      <c r="F18" s="65" t="n"/>
      <c r="G18" s="65" t="n"/>
      <c r="H18" s="65" t="n"/>
      <c r="I18" s="65" t="n"/>
      <c r="J18" s="65" t="n"/>
      <c r="K18" s="65" t="n"/>
      <c r="L18" s="65" t="n"/>
      <c r="M18" s="65" t="n"/>
      <c r="N18" s="65" t="n"/>
      <c r="O18" s="66" t="n"/>
    </row>
    <row r="19" ht="18" customHeight="1" s="55">
      <c r="A19" s="62" t="inlineStr">
        <is>
          <t>Closed</t>
        </is>
      </c>
      <c r="B19" s="62" t="inlineStr">
        <is>
          <t>Exception no longer needed (decommissioned or standard approval)</t>
        </is>
      </c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6" t="n"/>
    </row>
    <row r="20" ht="18" customHeight="1" s="55">
      <c r="A20" s="62" t="inlineStr">
        <is>
          <t>Rejected</t>
        </is>
      </c>
      <c r="B20" s="62" t="inlineStr">
        <is>
          <t>Committee denied the exception request</t>
        </is>
      </c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6" t="n"/>
    </row>
    <row r="22" ht="18" customHeight="1" s="55">
      <c r="A22" s="59" t="inlineStr">
        <is>
          <t>2. Exception log</t>
        </is>
      </c>
    </row>
    <row r="23" ht="31.5" customHeight="1" s="55">
      <c r="A23" s="61" t="inlineStr">
        <is>
          <t>Exception ID</t>
        </is>
      </c>
      <c r="B23" s="61" t="inlineStr">
        <is>
          <t>Tool Name</t>
        </is>
      </c>
      <c r="C23" s="61" t="inlineStr">
        <is>
          <t>Type</t>
        </is>
      </c>
      <c r="D23" s="61" t="inlineStr">
        <is>
          <t>Risk</t>
        </is>
      </c>
      <c r="E23" s="61" t="inlineStr">
        <is>
          <t>Guardrails Affected</t>
        </is>
      </c>
      <c r="F23" s="61" t="inlineStr">
        <is>
          <t>Business Justification</t>
        </is>
      </c>
      <c r="G23" s="61" t="inlineStr">
        <is>
          <t>Compensating Controls</t>
        </is>
      </c>
      <c r="H23" s="61" t="inlineStr">
        <is>
          <t>Requestor</t>
        </is>
      </c>
      <c r="I23" s="61" t="inlineStr">
        <is>
          <t>Approver(s) / Vote</t>
        </is>
      </c>
      <c r="J23" s="61" t="inlineStr">
        <is>
          <t>Approved</t>
        </is>
      </c>
      <c r="K23" s="61" t="inlineStr">
        <is>
          <t>Expires</t>
        </is>
      </c>
      <c r="L23" s="61" t="inlineStr">
        <is>
          <t>Renewal</t>
        </is>
      </c>
      <c r="M23" s="61" t="inlineStr">
        <is>
          <t>Status</t>
        </is>
      </c>
      <c r="N23" s="61" t="inlineStr">
        <is>
          <t>Audit Notes</t>
        </is>
      </c>
      <c r="O23" s="61" t="inlineStr">
        <is>
          <t>Related Incidents</t>
        </is>
      </c>
    </row>
    <row r="24" ht="73.5" customHeight="1" s="55">
      <c r="A24" s="62" t="inlineStr">
        <is>
          <t>EXC-2025-001</t>
        </is>
      </c>
      <c r="B24" s="62" t="inlineStr">
        <is>
          <t>Autonomous Agent X</t>
        </is>
      </c>
      <c r="C24" s="62" t="inlineStr">
        <is>
          <t>Severe Tool</t>
        </is>
      </c>
      <c r="D24" s="70" t="inlineStr">
        <is>
          <t>Severe</t>
        </is>
      </c>
      <c r="E24" s="62" t="inlineStr">
        <is>
          <t>Intent Validation, Agent Auth</t>
        </is>
      </c>
      <c r="F24" s="62" t="inlineStr">
        <is>
          <t>Q4 ops automation; no lower-risk alternative</t>
        </is>
      </c>
      <c r="G24" s="62" t="inlineStr">
        <is>
          <t>Human approval on external APIs; 24/7 monitor; kill switch</t>
        </is>
      </c>
      <c r="H24" s="62" t="inlineStr">
        <is>
          <t>J. Smith</t>
        </is>
      </c>
      <c r="I24" s="62" t="inlineStr">
        <is>
          <t>CISO, Committee 5-0, CFO</t>
        </is>
      </c>
      <c r="J24" s="62" t="inlineStr">
        <is>
          <t>2025-08-15</t>
        </is>
      </c>
      <c r="K24" s="62" t="inlineStr">
        <is>
          <t>2026-08-15</t>
        </is>
      </c>
      <c r="L24" s="62" t="inlineStr">
        <is>
          <t>2026-07</t>
        </is>
      </c>
      <c r="M24" s="68" t="inlineStr">
        <is>
          <t>Renewal Due</t>
        </is>
      </c>
      <c r="N24" s="62" t="inlineStr">
        <is>
          <t>Quarterly review</t>
        </is>
      </c>
      <c r="O24" s="62" t="inlineStr">
        <is>
          <t>None</t>
        </is>
      </c>
    </row>
    <row r="25" ht="60" customHeight="1" s="55">
      <c r="A25" s="62" t="inlineStr">
        <is>
          <t>EXC-2025-002</t>
        </is>
      </c>
      <c r="B25" s="62" t="inlineStr">
        <is>
          <t>Custom ML Pipeline</t>
        </is>
      </c>
      <c r="C25" s="62" t="inlineStr">
        <is>
          <t>Guardrail Bypass</t>
        </is>
      </c>
      <c r="D25" s="69" t="inlineStr">
        <is>
          <t>High</t>
        </is>
      </c>
      <c r="E25" s="62" t="inlineStr">
        <is>
          <t>Model Provenance</t>
        </is>
      </c>
      <c r="F25" s="62" t="inlineStr">
        <is>
          <t>Internal model; provenance tracked via internal registry</t>
        </is>
      </c>
      <c r="G25" s="62" t="inlineStr">
        <is>
          <t>Full training data lineage; internal signing</t>
        </is>
      </c>
      <c r="H25" s="62" t="inlineStr">
        <is>
          <t>M. Johnson</t>
        </is>
      </c>
      <c r="I25" s="62" t="inlineStr">
        <is>
          <t>Committee 4-1</t>
        </is>
      </c>
      <c r="J25" s="62" t="inlineStr">
        <is>
          <t>2025-09-01</t>
        </is>
      </c>
      <c r="K25" s="62" t="inlineStr">
        <is>
          <t>2026-03-01</t>
        </is>
      </c>
      <c r="L25" s="62" t="inlineStr">
        <is>
          <t>Submitted</t>
        </is>
      </c>
      <c r="M25" s="79" t="inlineStr">
        <is>
          <t>Closed</t>
        </is>
      </c>
      <c r="N25" s="62" t="inlineStr">
        <is>
          <t>Converted to standard after internal signing added</t>
        </is>
      </c>
      <c r="O25" s="62" t="inlineStr">
        <is>
          <t>None</t>
        </is>
      </c>
    </row>
    <row r="26" ht="60" customHeight="1" s="55">
      <c r="A26" s="62" t="inlineStr">
        <is>
          <t>EXC-2025-003</t>
        </is>
      </c>
      <c r="B26" s="62" t="inlineStr">
        <is>
          <t>Vendor AI Tool Y</t>
        </is>
      </c>
      <c r="C26" s="62" t="inlineStr">
        <is>
          <t>Vendor Risk</t>
        </is>
      </c>
      <c r="D26" s="68" t="inlineStr">
        <is>
          <t>Medium</t>
        </is>
      </c>
      <c r="E26" s="62" t="inlineStr">
        <is>
          <t>Vendor Assessment</t>
        </is>
      </c>
      <c r="F26" s="62" t="inlineStr">
        <is>
          <t>SOC 2 pending; critical function</t>
        </is>
      </c>
      <c r="G26" s="62" t="inlineStr">
        <is>
          <t>Enhanced monitoring; DLP; contractual liability clause</t>
        </is>
      </c>
      <c r="H26" s="62" t="inlineStr">
        <is>
          <t>A. Williams</t>
        </is>
      </c>
      <c r="I26" s="62" t="inlineStr">
        <is>
          <t>Committee 5-0; Legal review</t>
        </is>
      </c>
      <c r="J26" s="62" t="inlineStr">
        <is>
          <t>2025-10-01</t>
        </is>
      </c>
      <c r="K26" s="62" t="inlineStr">
        <is>
          <t>2026-04-01</t>
        </is>
      </c>
      <c r="L26" s="62" t="inlineStr">
        <is>
          <t>Closed</t>
        </is>
      </c>
      <c r="M26" s="79" t="inlineStr">
        <is>
          <t>Closed</t>
        </is>
      </c>
      <c r="N26" s="62" t="inlineStr">
        <is>
          <t>SOC 2 Type II achieved Jan 2026</t>
        </is>
      </c>
      <c r="O26" s="62" t="inlineStr">
        <is>
          <t>None</t>
        </is>
      </c>
    </row>
    <row r="27" ht="60" customHeight="1" s="55">
      <c r="A27" s="62" t="inlineStr">
        <is>
          <t>EXC-2025-004</t>
        </is>
      </c>
      <c r="B27" s="62" t="inlineStr">
        <is>
          <t>Emergency Chatbot</t>
        </is>
      </c>
      <c r="C27" s="62" t="inlineStr">
        <is>
          <t>Emergency Use</t>
        </is>
      </c>
      <c r="D27" s="68" t="inlineStr">
        <is>
          <t>Medium</t>
        </is>
      </c>
      <c r="E27" s="62" t="inlineStr">
        <is>
          <t>Input / Output Validation</t>
        </is>
      </c>
      <c r="F27" s="62" t="inlineStr">
        <is>
          <t>Support surge after outage; needed in 24 hours</t>
        </is>
      </c>
      <c r="G27" s="62" t="inlineStr">
        <is>
          <t>Manual review of flagged conversations for first 14 days</t>
        </is>
      </c>
      <c r="H27" s="62" t="inlineStr">
        <is>
          <t>K. Davis</t>
        </is>
      </c>
      <c r="I27" s="62" t="inlineStr">
        <is>
          <t>CISO (48h retroactive)</t>
        </is>
      </c>
      <c r="J27" s="62" t="inlineStr">
        <is>
          <t>2025-11-01</t>
        </is>
      </c>
      <c r="K27" s="62" t="inlineStr">
        <is>
          <t>2025-12-01</t>
        </is>
      </c>
      <c r="L27" s="62" t="inlineStr">
        <is>
          <t>N/A</t>
        </is>
      </c>
      <c r="M27" s="79" t="inlineStr">
        <is>
          <t>Closed</t>
        </is>
      </c>
      <c r="N27" s="62" t="inlineStr">
        <is>
          <t>Converted to standard approval Nov 2025</t>
        </is>
      </c>
      <c r="O27" s="62" t="inlineStr">
        <is>
          <t>None</t>
        </is>
      </c>
    </row>
    <row r="28" ht="73.5" customHeight="1" s="55">
      <c r="A28" s="62" t="inlineStr">
        <is>
          <t>EXC-2026-001</t>
        </is>
      </c>
      <c r="B28" s="62" t="inlineStr">
        <is>
          <t>Autonomous Agent (pilot)</t>
        </is>
      </c>
      <c r="C28" s="62" t="inlineStr">
        <is>
          <t>Agentic Pilot</t>
        </is>
      </c>
      <c r="D28" s="70" t="inlineStr">
        <is>
          <t>Severe</t>
        </is>
      </c>
      <c r="E28" s="62" t="inlineStr">
        <is>
          <t>Autonomous Action Limits, Sub-agent Spawning</t>
        </is>
      </c>
      <c r="F28" s="62" t="inlineStr">
        <is>
          <t>Pilot of new agentic platform for ops team; restricted cohort</t>
        </is>
      </c>
      <c r="G28" s="62" t="inlineStr">
        <is>
          <t>HITL for all external actions; 24/7 monitor; kill switch tested</t>
        </is>
      </c>
      <c r="H28" s="62" t="inlineStr">
        <is>
          <t>P. Lee</t>
        </is>
      </c>
      <c r="I28" s="62" t="inlineStr">
        <is>
          <t>CISO, Committee 5-0, CTO</t>
        </is>
      </c>
      <c r="J28" s="62" t="inlineStr">
        <is>
          <t>2026-02-01</t>
        </is>
      </c>
      <c r="K28" s="62" t="inlineStr">
        <is>
          <t>2026-04-01</t>
        </is>
      </c>
      <c r="L28" s="62" t="inlineStr">
        <is>
          <t>Scheduled</t>
        </is>
      </c>
      <c r="M28" s="67" t="inlineStr">
        <is>
          <t>Active</t>
        </is>
      </c>
      <c r="N28" s="62" t="inlineStr">
        <is>
          <t>Weekly review; convert to standard on pass</t>
        </is>
      </c>
      <c r="O28" s="62" t="inlineStr">
        <is>
          <t>None</t>
        </is>
      </c>
    </row>
    <row r="29" ht="87.75" customHeight="1" s="55">
      <c r="A29" s="62" t="inlineStr">
        <is>
          <t>EXC-2026-002</t>
        </is>
      </c>
      <c r="B29" s="62" t="inlineStr">
        <is>
          <t>Claude 4 Upgrade</t>
        </is>
      </c>
      <c r="C29" s="62" t="inlineStr">
        <is>
          <t>Model Version Exception</t>
        </is>
      </c>
      <c r="D29" s="68" t="inlineStr">
        <is>
          <t>Medium</t>
        </is>
      </c>
      <c r="E29" s="62" t="inlineStr">
        <is>
          <t>Model Rollback Procedure</t>
        </is>
      </c>
      <c r="F29" s="62" t="inlineStr">
        <is>
          <t>Upgrade to Claude Sonnet 4.5 before full eval suite passes; rollback ready</t>
        </is>
      </c>
      <c r="G29" s="62" t="inlineStr">
        <is>
          <t>Canary at 5%; hourly metrics; instant rollback runbook tested</t>
        </is>
      </c>
      <c r="H29" s="62" t="inlineStr">
        <is>
          <t>P. Lee</t>
        </is>
      </c>
      <c r="I29" s="62" t="inlineStr">
        <is>
          <t>Security + Platform</t>
        </is>
      </c>
      <c r="J29" s="62" t="inlineStr">
        <is>
          <t>2026-03-10</t>
        </is>
      </c>
      <c r="K29" s="62" t="inlineStr">
        <is>
          <t>2026-03-24</t>
        </is>
      </c>
      <c r="L29" s="62" t="inlineStr">
        <is>
          <t>Convert on eval</t>
        </is>
      </c>
      <c r="M29" s="67" t="inlineStr">
        <is>
          <t>Active</t>
        </is>
      </c>
      <c r="N29" s="62" t="inlineStr">
        <is>
          <t>Eval suite 80% done; target convert by 3/24</t>
        </is>
      </c>
      <c r="O29" s="62" t="inlineStr">
        <is>
          <t>None</t>
        </is>
      </c>
    </row>
    <row r="31" ht="18" customHeight="1" s="55">
      <c r="A31" s="59" t="inlineStr">
        <is>
          <t>3. Renewal process</t>
        </is>
      </c>
    </row>
    <row r="32" ht="18" customHeight="1" s="55">
      <c r="A32" s="61" t="inlineStr">
        <is>
          <t>Step</t>
        </is>
      </c>
      <c r="B32" s="61" t="inlineStr">
        <is>
          <t>Action</t>
        </is>
      </c>
      <c r="C32" s="61" t="inlineStr">
        <is>
          <t>Owner</t>
        </is>
      </c>
      <c r="D32" s="61" t="inlineStr">
        <is>
          <t>Timeline</t>
        </is>
      </c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</row>
    <row r="33" ht="45.75" customHeight="1" s="55">
      <c r="A33" s="62" t="n">
        <v>1</v>
      </c>
      <c r="B33" s="62" t="inlineStr">
        <is>
          <t>Submit renewal request with updated justification</t>
        </is>
      </c>
      <c r="C33" s="62" t="inlineStr">
        <is>
          <t>Tool Owner</t>
        </is>
      </c>
      <c r="D33" s="62" t="inlineStr">
        <is>
          <t>30 days before expiration</t>
        </is>
      </c>
      <c r="E33" s="62" t="n"/>
      <c r="F33" s="62" t="n"/>
      <c r="G33" s="62" t="n"/>
      <c r="H33" s="62" t="n"/>
      <c r="I33" s="62" t="n"/>
      <c r="J33" s="62" t="n"/>
      <c r="K33" s="62" t="n"/>
      <c r="L33" s="62" t="n"/>
      <c r="M33" s="62" t="n"/>
      <c r="N33" s="62" t="n"/>
      <c r="O33" s="62" t="n"/>
    </row>
    <row r="34" ht="31.5" customHeight="1" s="55">
      <c r="A34" s="62" t="n">
        <v>2</v>
      </c>
      <c r="B34" s="62" t="inlineStr">
        <is>
          <t>Verify compensating controls effectiveness</t>
        </is>
      </c>
      <c r="C34" s="62" t="inlineStr">
        <is>
          <t>Security Analyst</t>
        </is>
      </c>
      <c r="D34" s="62" t="inlineStr">
        <is>
          <t>Within 5 days</t>
        </is>
      </c>
      <c r="E34" s="62" t="n"/>
      <c r="F34" s="62" t="n"/>
      <c r="G34" s="62" t="n"/>
      <c r="H34" s="62" t="n"/>
      <c r="I34" s="62" t="n"/>
      <c r="J34" s="62" t="n"/>
      <c r="K34" s="62" t="n"/>
      <c r="L34" s="62" t="n"/>
      <c r="M34" s="62" t="n"/>
      <c r="N34" s="62" t="n"/>
      <c r="O34" s="62" t="n"/>
    </row>
    <row r="35" ht="31.5" customHeight="1" s="55">
      <c r="A35" s="62" t="n">
        <v>3</v>
      </c>
      <c r="B35" s="62" t="inlineStr">
        <is>
          <t>Document incidents during exception period</t>
        </is>
      </c>
      <c r="C35" s="62" t="inlineStr">
        <is>
          <t>Security Analyst</t>
        </is>
      </c>
      <c r="D35" s="62" t="inlineStr">
        <is>
          <t>With renewal request</t>
        </is>
      </c>
      <c r="E35" s="62" t="n"/>
      <c r="F35" s="62" t="n"/>
      <c r="G35" s="62" t="n"/>
      <c r="H35" s="62" t="n"/>
      <c r="I35" s="62" t="n"/>
      <c r="J35" s="62" t="n"/>
      <c r="K35" s="62" t="n"/>
      <c r="L35" s="62" t="n"/>
      <c r="M35" s="62" t="n"/>
      <c r="N35" s="62" t="n"/>
      <c r="O35" s="62" t="n"/>
    </row>
    <row r="36" ht="45.75" customHeight="1" s="55">
      <c r="A36" s="62" t="n">
        <v>4</v>
      </c>
      <c r="B36" s="62" t="inlineStr">
        <is>
          <t>Committee review and vote (recorded)</t>
        </is>
      </c>
      <c r="C36" s="62" t="inlineStr">
        <is>
          <t>Governance Committee</t>
        </is>
      </c>
      <c r="D36" s="62" t="inlineStr">
        <is>
          <t>Next scheduled meeting</t>
        </is>
      </c>
      <c r="E36" s="62" t="n"/>
      <c r="F36" s="62" t="n"/>
      <c r="G36" s="62" t="n"/>
      <c r="H36" s="62" t="n"/>
      <c r="I36" s="62" t="n"/>
      <c r="J36" s="62" t="n"/>
      <c r="K36" s="62" t="n"/>
      <c r="L36" s="62" t="n"/>
      <c r="M36" s="62" t="n"/>
      <c r="N36" s="62" t="n"/>
      <c r="O36" s="62" t="n"/>
    </row>
    <row r="37" ht="45.75" customHeight="1" s="55">
      <c r="A37" s="62" t="n">
        <v>5</v>
      </c>
      <c r="B37" s="62" t="inlineStr">
        <is>
          <t>Update exception record with new dates</t>
        </is>
      </c>
      <c r="C37" s="62" t="inlineStr">
        <is>
          <t>Security Admin</t>
        </is>
      </c>
      <c r="D37" s="62" t="inlineStr">
        <is>
          <t>Within 2 days of decision</t>
        </is>
      </c>
      <c r="E37" s="62" t="n"/>
      <c r="F37" s="62" t="n"/>
      <c r="G37" s="62" t="n"/>
      <c r="H37" s="62" t="n"/>
      <c r="I37" s="62" t="n"/>
      <c r="J37" s="62" t="n"/>
      <c r="K37" s="62" t="n"/>
      <c r="L37" s="62" t="n"/>
      <c r="M37" s="62" t="n"/>
      <c r="N37" s="62" t="n"/>
      <c r="O37" s="62" t="n"/>
    </row>
    <row r="38" ht="31.5" customHeight="1" s="55">
      <c r="A38" s="62" t="n">
        <v>6</v>
      </c>
      <c r="B38" s="62" t="inlineStr">
        <is>
          <t>Notify stakeholders of outcome</t>
        </is>
      </c>
      <c r="C38" s="62" t="inlineStr">
        <is>
          <t>Security Admin</t>
        </is>
      </c>
      <c r="D38" s="62" t="inlineStr">
        <is>
          <t>Same day as update</t>
        </is>
      </c>
      <c r="E38" s="62" t="n"/>
      <c r="F38" s="62" t="n"/>
      <c r="G38" s="62" t="n"/>
      <c r="H38" s="62" t="n"/>
      <c r="I38" s="62" t="n"/>
      <c r="J38" s="62" t="n"/>
      <c r="K38" s="62" t="n"/>
      <c r="L38" s="62" t="n"/>
      <c r="M38" s="62" t="n"/>
      <c r="N38" s="62" t="n"/>
      <c r="O38" s="62" t="n"/>
    </row>
    <row r="40" ht="18" customHeight="1" s="55">
      <c r="A40" s="59" t="inlineStr">
        <is>
          <t>4. Workbook cross-references</t>
        </is>
      </c>
    </row>
    <row r="41" ht="31.5" customHeight="1" s="55">
      <c r="A41" s="62" t="inlineStr">
        <is>
          <t>Governance Guide §4</t>
        </is>
      </c>
      <c r="B41" s="62" t="inlineStr">
        <is>
          <t>Exception process details and committee procedures</t>
        </is>
      </c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6" t="n"/>
    </row>
    <row r="42" ht="31.5" customHeight="1" s="55">
      <c r="A42" s="62" t="inlineStr">
        <is>
          <t>Governance Guide §5</t>
        </is>
      </c>
      <c r="B42" s="62" t="inlineStr">
        <is>
          <t>Tiered revocation if exception expires without renewal</t>
        </is>
      </c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6" t="n"/>
    </row>
    <row r="43" ht="18" customHeight="1" s="55">
      <c r="A43" s="62" t="inlineStr">
        <is>
          <t>Intake Form</t>
        </is>
      </c>
      <c r="B43" s="62" t="inlineStr">
        <is>
          <t>Re-assess tool if converting from exception to standard approval</t>
        </is>
      </c>
      <c r="C43" s="65" t="n"/>
      <c r="D43" s="65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6" t="n"/>
    </row>
    <row r="44" ht="31.5" customHeight="1" s="55">
      <c r="A44" s="62" t="inlineStr">
        <is>
          <t>Guardrail Checklist</t>
        </is>
      </c>
      <c r="B44" s="62" t="inlineStr">
        <is>
          <t>Identify which guardrails are being bypassed</t>
        </is>
      </c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6" t="n"/>
    </row>
    <row r="45" ht="18" customHeight="1" s="55">
      <c r="A45" s="62" t="inlineStr">
        <is>
          <t>Tool Registry</t>
        </is>
      </c>
      <c r="B45" s="62" t="inlineStr">
        <is>
          <t>Update Exception # field for affected tools</t>
        </is>
      </c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6" t="n"/>
    </row>
    <row r="46" ht="18" customHeight="1" s="55">
      <c r="A46" s="62" t="inlineStr">
        <is>
          <t>Program Metrics</t>
        </is>
      </c>
      <c r="B46" s="62" t="inlineStr">
        <is>
          <t>Exception rate KPI and SLO targets</t>
        </is>
      </c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6" t="n"/>
    </row>
  </sheetData>
  <autoFilter ref="A23:O46"/>
  <mergeCells count="18">
    <mergeCell ref="B17:O17"/>
    <mergeCell ref="A15:O15"/>
    <mergeCell ref="B41:O41"/>
    <mergeCell ref="B18:O18"/>
    <mergeCell ref="A40:O40"/>
    <mergeCell ref="B44:O44"/>
    <mergeCell ref="B43:O43"/>
    <mergeCell ref="B16:O16"/>
    <mergeCell ref="A22:O22"/>
    <mergeCell ref="A1:O1"/>
    <mergeCell ref="A5:O5"/>
    <mergeCell ref="B19:O19"/>
    <mergeCell ref="B20:O20"/>
    <mergeCell ref="A31:O31"/>
    <mergeCell ref="B45:O45"/>
    <mergeCell ref="B46:O46"/>
    <mergeCell ref="A3:O3"/>
    <mergeCell ref="B42:O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8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1" activeCellId="0" sqref="A1"/>
    </sheetView>
  </sheetViews>
  <sheetFormatPr baseColWidth="8" defaultColWidth="8.83203125" defaultRowHeight="15" customHeight="0" zeroHeight="0" outlineLevelRow="0"/>
  <cols>
    <col width="32" customWidth="1" style="54" min="1" max="1"/>
    <col width="16" customWidth="1" style="54" min="2" max="2"/>
    <col width="14" customWidth="1" style="54" min="3" max="3"/>
    <col width="18" customWidth="1" style="54" min="4" max="4"/>
    <col width="30" customWidth="1" style="54" min="5" max="6"/>
    <col width="28" customWidth="1" style="54" min="7" max="7"/>
    <col width="56" customWidth="1" style="54" min="8" max="8"/>
    <col width="32" customWidth="1" style="54" min="9" max="9"/>
    <col width="6" customWidth="1" style="54" min="10" max="10"/>
  </cols>
  <sheetData>
    <row r="1" ht="25.5" customHeight="1" s="55">
      <c r="A1" s="56" t="inlineStr">
        <is>
          <t>AI Security Tool Landscape</t>
        </is>
      </c>
    </row>
    <row r="3" ht="18" customHeight="1" s="55">
      <c r="A3" s="60" t="inlineStr">
        <is>
          <t>Enterprise vendors mapped to 7 product families. Use to select guardrail implementations. Refreshed April 2026 with 2025-26 entrants and acquisition statuses.</t>
        </is>
      </c>
    </row>
    <row r="5" ht="18" customHeight="1" s="55">
      <c r="A5" s="59" t="inlineStr">
        <is>
          <t>Product families reference</t>
        </is>
      </c>
    </row>
    <row r="6" ht="18" customHeight="1" s="55">
      <c r="A6" s="61" t="inlineStr">
        <is>
          <t>Family</t>
        </is>
      </c>
      <c r="B6" s="61" t="inlineStr">
        <is>
          <t>Focus</t>
        </is>
      </c>
      <c r="C6" s="61" t="inlineStr">
        <is>
          <t>Key Guardrails</t>
        </is>
      </c>
      <c r="D6" s="61" t="n"/>
      <c r="E6" s="61" t="n"/>
      <c r="F6" s="61" t="n"/>
      <c r="G6" s="61" t="n"/>
      <c r="H6" s="61" t="n"/>
      <c r="I6" s="61" t="n"/>
      <c r="J6" s="61" t="n"/>
    </row>
    <row r="7" ht="31.5" customHeight="1" s="55">
      <c r="A7" s="71" t="inlineStr">
        <is>
          <t>AI Posture &amp; Governance</t>
        </is>
      </c>
      <c r="B7" s="62" t="inlineStr">
        <is>
          <t>Inventory, compliance, policy</t>
        </is>
      </c>
      <c r="C7" s="62" t="inlineStr">
        <is>
          <t>Tool registration, risk classification, policy enforcement</t>
        </is>
      </c>
      <c r="D7" s="65" t="n"/>
      <c r="E7" s="65" t="n"/>
      <c r="F7" s="65" t="n"/>
      <c r="G7" s="65" t="n"/>
      <c r="H7" s="65" t="n"/>
      <c r="I7" s="65" t="n"/>
      <c r="J7" s="66" t="n"/>
    </row>
    <row r="8" ht="31.5" customHeight="1" s="55">
      <c r="A8" s="72" t="inlineStr">
        <is>
          <t>Runtime Protection &amp; Guardrails</t>
        </is>
      </c>
      <c r="B8" s="62" t="inlineStr">
        <is>
          <t>Real-time inference protection</t>
        </is>
      </c>
      <c r="C8" s="62" t="inlineStr">
        <is>
          <t>Prompt injection, jailbreak, output filtering, content safety</t>
        </is>
      </c>
      <c r="D8" s="65" t="n"/>
      <c r="E8" s="65" t="n"/>
      <c r="F8" s="65" t="n"/>
      <c r="G8" s="65" t="n"/>
      <c r="H8" s="65" t="n"/>
      <c r="I8" s="65" t="n"/>
      <c r="J8" s="66" t="n"/>
    </row>
    <row r="9" ht="31.5" customHeight="1" s="55">
      <c r="A9" s="73" t="inlineStr">
        <is>
          <t>Shadow AI &amp; Usage Discovery</t>
        </is>
      </c>
      <c r="B9" s="62" t="inlineStr">
        <is>
          <t>Unauthorized AI detection</t>
        </is>
      </c>
      <c r="C9" s="62" t="inlineStr">
        <is>
          <t>Shadow AI detection, usage logging, sanctioned status</t>
        </is>
      </c>
      <c r="D9" s="65" t="n"/>
      <c r="E9" s="65" t="n"/>
      <c r="F9" s="65" t="n"/>
      <c r="G9" s="65" t="n"/>
      <c r="H9" s="65" t="n"/>
      <c r="I9" s="65" t="n"/>
      <c r="J9" s="66" t="n"/>
    </row>
    <row r="10" ht="31.5" customHeight="1" s="55">
      <c r="A10" s="74" t="inlineStr">
        <is>
          <t>Observability &amp; Evaluation</t>
        </is>
      </c>
      <c r="B10" s="62" t="inlineStr">
        <is>
          <t>Monitor and test AI systems</t>
        </is>
      </c>
      <c r="C10" s="62" t="inlineStr">
        <is>
          <t>Audit logging, SIEM integration, alerting, drift, evals</t>
        </is>
      </c>
      <c r="D10" s="65" t="n"/>
      <c r="E10" s="65" t="n"/>
      <c r="F10" s="65" t="n"/>
      <c r="G10" s="65" t="n"/>
      <c r="H10" s="65" t="n"/>
      <c r="I10" s="65" t="n"/>
      <c r="J10" s="66" t="n"/>
    </row>
    <row r="11" ht="31.5" customHeight="1" s="55">
      <c r="A11" s="75" t="inlineStr">
        <is>
          <t>Data Protection for AI</t>
        </is>
      </c>
      <c r="B11" s="62" t="inlineStr">
        <is>
          <t>Prevent data exposure</t>
        </is>
      </c>
      <c r="C11" s="62" t="inlineStr">
        <is>
          <t>DLP, PII detection, encryption, data masking, residency</t>
        </is>
      </c>
      <c r="D11" s="65" t="n"/>
      <c r="E11" s="65" t="n"/>
      <c r="F11" s="65" t="n"/>
      <c r="G11" s="65" t="n"/>
      <c r="H11" s="65" t="n"/>
      <c r="I11" s="65" t="n"/>
      <c r="J11" s="66" t="n"/>
    </row>
    <row r="12" ht="31.5" customHeight="1" s="55">
      <c r="A12" s="76" t="inlineStr">
        <is>
          <t>NHI &amp; Agentic Access</t>
        </is>
      </c>
      <c r="B12" s="62" t="inlineStr">
        <is>
          <t>Non-human identity management</t>
        </is>
      </c>
      <c r="C12" s="62" t="inlineStr">
        <is>
          <t>Service accounts, secrets vault, mTLS, rotation, spawn limits</t>
        </is>
      </c>
      <c r="D12" s="65" t="n"/>
      <c r="E12" s="65" t="n"/>
      <c r="F12" s="65" t="n"/>
      <c r="G12" s="65" t="n"/>
      <c r="H12" s="65" t="n"/>
      <c r="I12" s="65" t="n"/>
      <c r="J12" s="66" t="n"/>
    </row>
    <row r="13" ht="31.5" customHeight="1" s="55">
      <c r="A13" s="77" t="inlineStr">
        <is>
          <t>AI Supply Chain</t>
        </is>
      </c>
      <c r="B13" s="62" t="inlineStr">
        <is>
          <t>Model &amp; pipeline integrity</t>
        </is>
      </c>
      <c r="C13" s="62" t="inlineStr">
        <is>
          <t>Model provenance, lineage, pipeline security, signing</t>
        </is>
      </c>
      <c r="D13" s="65" t="n"/>
      <c r="E13" s="65" t="n"/>
      <c r="F13" s="65" t="n"/>
      <c r="G13" s="65" t="n"/>
      <c r="H13" s="65" t="n"/>
      <c r="I13" s="65" t="n"/>
      <c r="J13" s="66" t="n"/>
    </row>
    <row r="15" ht="18" customHeight="1" s="55">
      <c r="A15" s="60" t="inlineStr">
        <is>
          <t>2024-2026 acquisitions (major): Google / Wiz ($32B pending EU), Palo Alto / Protect AI ($700M), CrowdStrike / Pangea ($260M), Check Point / Lakera ($300M), SentinelOne / Prompt Security, F5 / CalypsoAI, Cato / AIM Security.</t>
        </is>
      </c>
    </row>
    <row r="17" ht="18" customHeight="1" s="55">
      <c r="A17" s="59" t="inlineStr">
        <is>
          <t>Vendor landscape</t>
        </is>
      </c>
    </row>
    <row r="18" ht="31.5" customHeight="1" s="55">
      <c r="A18" s="61" t="inlineStr">
        <is>
          <t>Vendor (Product)</t>
        </is>
      </c>
      <c r="B18" s="61" t="inlineStr">
        <is>
          <t>Status</t>
        </is>
      </c>
      <c r="C18" s="61" t="inlineStr">
        <is>
          <t>Deployment</t>
        </is>
      </c>
      <c r="D18" s="61" t="inlineStr">
        <is>
          <t>Pricing Tier</t>
        </is>
      </c>
      <c r="E18" s="61" t="inlineStr">
        <is>
          <t>Primary Family</t>
        </is>
      </c>
      <c r="F18" s="61" t="inlineStr">
        <is>
          <t>Secondary Family</t>
        </is>
      </c>
      <c r="G18" s="61" t="inlineStr">
        <is>
          <t>Tertiary Family</t>
        </is>
      </c>
      <c r="H18" s="61" t="inlineStr">
        <is>
          <t>Exec Summary</t>
        </is>
      </c>
      <c r="I18" s="61" t="inlineStr">
        <is>
          <t>Best For</t>
        </is>
      </c>
      <c r="J18" s="61" t="n"/>
    </row>
    <row r="19" ht="42" customHeight="1" s="55">
      <c r="A19" s="62" t="inlineStr">
        <is>
          <t>Palo Alto Networks (Protect AI)</t>
        </is>
      </c>
      <c r="B19" s="62" t="inlineStr">
        <is>
          <t>Acquired</t>
        </is>
      </c>
      <c r="C19" s="62" t="inlineStr">
        <is>
          <t>Platform</t>
        </is>
      </c>
      <c r="D19" s="62" t="inlineStr">
        <is>
          <t>Enterprise</t>
        </is>
      </c>
      <c r="E19" s="71" t="inlineStr">
        <is>
          <t>AI Posture &amp; Governance</t>
        </is>
      </c>
      <c r="F19" s="77" t="inlineStr">
        <is>
          <t>AI Supply Chain</t>
        </is>
      </c>
      <c r="G19" s="74" t="inlineStr">
        <is>
          <t>Observability &amp; Evaluation</t>
        </is>
      </c>
      <c r="H19" s="62" t="inlineStr">
        <is>
          <t>Closed July 22, 2025 (~$700M). Protect AI is the core of Prisma AIRS — AI supply chain, model scanning, runtime, red teaming. Combined with CyberArk (closed Feb 2026) to form PAN identity + AI security platform.</t>
        </is>
      </c>
      <c r="I19" s="62" t="inlineStr">
        <is>
          <t>Palo Alto customers; integrated platform play</t>
        </is>
      </c>
      <c r="J19" s="62" t="n"/>
    </row>
    <row r="20" ht="42" customHeight="1" s="55">
      <c r="A20" s="62" t="inlineStr">
        <is>
          <t>Cisco (Robust Intelligence)</t>
        </is>
      </c>
      <c r="B20" s="62" t="inlineStr">
        <is>
          <t>Acquired</t>
        </is>
      </c>
      <c r="C20" s="62" t="inlineStr">
        <is>
          <t>Platform</t>
        </is>
      </c>
      <c r="D20" s="62" t="inlineStr">
        <is>
          <t>Enterprise</t>
        </is>
      </c>
      <c r="E20" s="71" t="inlineStr">
        <is>
          <t>AI Posture &amp; Governance</t>
        </is>
      </c>
      <c r="F20" s="77" t="inlineStr">
        <is>
          <t>AI Supply Chain</t>
        </is>
      </c>
      <c r="G20" s="73" t="inlineStr">
        <is>
          <t>Shadow AI &amp; Usage Discovery</t>
        </is>
      </c>
      <c r="H20" s="62" t="inlineStr">
        <is>
          <t>Closed 2024. Network-layer AI security integrated into Cisco Secure AI. Model validation, supply chain, guardrails; agentless deployment.</t>
        </is>
      </c>
      <c r="I20" s="62" t="inlineStr">
        <is>
          <t>Cisco customers; agentless deployment</t>
        </is>
      </c>
      <c r="J20" s="62" t="n"/>
    </row>
    <row r="21" ht="42" customHeight="1" s="55">
      <c r="A21" s="62" t="inlineStr">
        <is>
          <t>Microsoft Defender for Cloud</t>
        </is>
      </c>
      <c r="B21" s="62" t="inlineStr">
        <is>
          <t>Platform</t>
        </is>
      </c>
      <c r="C21" s="62" t="inlineStr">
        <is>
          <t>Platform</t>
        </is>
      </c>
      <c r="D21" s="62" t="inlineStr">
        <is>
          <t>Included in platform</t>
        </is>
      </c>
      <c r="E21" s="71" t="inlineStr">
        <is>
          <t>AI Posture &amp; Governance</t>
        </is>
      </c>
      <c r="F21" s="72" t="inlineStr">
        <is>
          <t>Runtime Protection &amp; Guardrails</t>
        </is>
      </c>
      <c r="G21" s="75" t="inlineStr">
        <is>
          <t>Data Protection for AI</t>
        </is>
      </c>
      <c r="H21" s="62" t="inlineStr">
        <is>
          <t>Multi-cloud AI-SPM, OWASP Top 10 for LLMs, Azure AI Content Safety integration. Broadest Azure-native coverage.</t>
        </is>
      </c>
      <c r="I21" s="62" t="inlineStr">
        <is>
          <t>Azure / M365 shops</t>
        </is>
      </c>
      <c r="J21" s="62" t="n"/>
    </row>
    <row r="22" ht="42" customHeight="1" s="55">
      <c r="A22" s="62" t="inlineStr">
        <is>
          <t>Wiz</t>
        </is>
      </c>
      <c r="B22" s="62" t="inlineStr">
        <is>
          <t>Acquired (Google)</t>
        </is>
      </c>
      <c r="C22" s="62" t="inlineStr">
        <is>
          <t>SaaS</t>
        </is>
      </c>
      <c r="D22" s="62" t="inlineStr">
        <is>
          <t>Enterprise</t>
        </is>
      </c>
      <c r="E22" s="71" t="inlineStr">
        <is>
          <t>AI Posture &amp; Governance</t>
        </is>
      </c>
      <c r="F22" s="73" t="inlineStr">
        <is>
          <t>Shadow AI &amp; Usage Discovery</t>
        </is>
      </c>
      <c r="G22" s="74" t="inlineStr">
        <is>
          <t>Observability &amp; Evaluation</t>
        </is>
      </c>
      <c r="H22" s="62" t="inlineStr">
        <is>
          <t>CNAPP-native AI-SPM: agentless discovery, risk prioritization, attack path analysis. Google completed $32B acquisition on March 11, 2026 — largest-ever cybersecurity M&amp;A at the time. Wiz continues multicloud support (AWS, Azure, Oracle, GCP) post-acquisition.</t>
        </is>
      </c>
      <c r="I22" s="62" t="inlineStr">
        <is>
          <t>Wiz customers; cloud-native AI workloads</t>
        </is>
      </c>
      <c r="J22" s="62" t="n"/>
    </row>
    <row r="23" ht="42" customHeight="1" s="55">
      <c r="A23" s="62" t="inlineStr">
        <is>
          <t>CrowdStrike (Pangea)</t>
        </is>
      </c>
      <c r="B23" s="62" t="inlineStr">
        <is>
          <t>Acquired</t>
        </is>
      </c>
      <c r="C23" s="62" t="inlineStr">
        <is>
          <t>Platform</t>
        </is>
      </c>
      <c r="D23" s="62" t="inlineStr">
        <is>
          <t>Enterprise</t>
        </is>
      </c>
      <c r="E23" s="71" t="inlineStr">
        <is>
          <t>AI Posture &amp; Governance</t>
        </is>
      </c>
      <c r="F23" s="72" t="inlineStr">
        <is>
          <t>Runtime Protection &amp; Guardrails</t>
        </is>
      </c>
      <c r="G23" s="77" t="inlineStr">
        <is>
          <t>AI Supply Chain</t>
        </is>
      </c>
      <c r="H23" s="62" t="inlineStr">
        <is>
          <t>Closed 2025 (~$260M). Pangea rolled into Falcon platform as the basis for AI Detection and Response (AIDR). Runtime guardrails, prompt defense, model security.</t>
        </is>
      </c>
      <c r="I23" s="62" t="inlineStr">
        <is>
          <t>CrowdStrike customers; endpoint-centric orgs</t>
        </is>
      </c>
      <c r="J23" s="62" t="n"/>
    </row>
    <row r="24" ht="42" customHeight="1" s="55">
      <c r="A24" s="62" t="inlineStr">
        <is>
          <t>ServiceNow</t>
        </is>
      </c>
      <c r="B24" s="62" t="inlineStr">
        <is>
          <t>Platform</t>
        </is>
      </c>
      <c r="C24" s="62" t="inlineStr">
        <is>
          <t>Platform</t>
        </is>
      </c>
      <c r="D24" s="62" t="inlineStr">
        <is>
          <t>Enterprise</t>
        </is>
      </c>
      <c r="E24" s="71" t="inlineStr">
        <is>
          <t>AI Posture &amp; Governance</t>
        </is>
      </c>
      <c r="F24" s="74" t="inlineStr">
        <is>
          <t>Observability &amp; Evaluation</t>
        </is>
      </c>
      <c r="G24" s="76" t="inlineStr">
        <is>
          <t>NHI &amp; Agentic Access</t>
        </is>
      </c>
      <c r="H24" s="62" t="inlineStr">
        <is>
          <t>AI Governance for Now Assist: Control Tower, usage tracking, compliance workflows.</t>
        </is>
      </c>
      <c r="I24" s="62" t="inlineStr">
        <is>
          <t>ServiceNow customers; GRC-centric governance</t>
        </is>
      </c>
      <c r="J24" s="62" t="n"/>
    </row>
    <row r="25" ht="42" customHeight="1" s="55">
      <c r="A25" s="62" t="inlineStr">
        <is>
          <t>HiddenLayer</t>
        </is>
      </c>
      <c r="B25" s="62" t="inlineStr">
        <is>
          <t>Independent</t>
        </is>
      </c>
      <c r="C25" s="62" t="inlineStr">
        <is>
          <t>SaaS</t>
        </is>
      </c>
      <c r="D25" s="62" t="inlineStr">
        <is>
          <t>Enterprise</t>
        </is>
      </c>
      <c r="E25" s="77" t="inlineStr">
        <is>
          <t>AI Supply Chain</t>
        </is>
      </c>
      <c r="F25" s="72" t="inlineStr">
        <is>
          <t>Runtime Protection &amp; Guardrails</t>
        </is>
      </c>
      <c r="G25" s="71" t="inlineStr">
        <is>
          <t>AI Posture &amp; Governance</t>
        </is>
      </c>
      <c r="H25" s="62" t="inlineStr">
        <is>
          <t>AI Supply Chain leader: model scanning, ML supply chain security, model BOM.</t>
        </is>
      </c>
      <c r="I25" s="62" t="inlineStr">
        <is>
          <t>Multi-cloud AI; wants independent vendor</t>
        </is>
      </c>
      <c r="J25" s="62" t="n"/>
    </row>
    <row r="26" ht="42" customHeight="1" s="55">
      <c r="A26" s="62" t="inlineStr">
        <is>
          <t>Noma Security</t>
        </is>
      </c>
      <c r="B26" s="62" t="inlineStr">
        <is>
          <t>Independent</t>
        </is>
      </c>
      <c r="C26" s="62" t="inlineStr">
        <is>
          <t>SaaS</t>
        </is>
      </c>
      <c r="D26" s="62" t="inlineStr">
        <is>
          <t>Enterprise</t>
        </is>
      </c>
      <c r="E26" s="71" t="inlineStr">
        <is>
          <t>AI Posture &amp; Governance</t>
        </is>
      </c>
      <c r="F26" s="77" t="inlineStr">
        <is>
          <t>AI Supply Chain</t>
        </is>
      </c>
      <c r="G26" s="74" t="inlineStr">
        <is>
          <t>Observability &amp; Evaluation</t>
        </is>
      </c>
      <c r="H26" s="62" t="inlineStr">
        <is>
          <t>Full AI lifecycle including supply chain; strong agentic AI focus. $132M total funding.</t>
        </is>
      </c>
      <c r="I26" s="62" t="inlineStr">
        <is>
          <t>Comprehensive AI security; agentic deployments</t>
        </is>
      </c>
      <c r="J26" s="62" t="n"/>
    </row>
    <row r="27" ht="42" customHeight="1" s="55">
      <c r="A27" s="62" t="inlineStr">
        <is>
          <t>Credo AI</t>
        </is>
      </c>
      <c r="B27" s="62" t="inlineStr">
        <is>
          <t>Independent</t>
        </is>
      </c>
      <c r="C27" s="62" t="inlineStr">
        <is>
          <t>SaaS</t>
        </is>
      </c>
      <c r="D27" s="62" t="inlineStr">
        <is>
          <t>Enterprise</t>
        </is>
      </c>
      <c r="E27" s="71" t="inlineStr">
        <is>
          <t>AI Posture &amp; Governance</t>
        </is>
      </c>
      <c r="F27" s="74" t="inlineStr">
        <is>
          <t>Observability &amp; Evaluation</t>
        </is>
      </c>
      <c r="G27" s="77" t="inlineStr">
        <is>
          <t>AI Supply Chain</t>
        </is>
      </c>
      <c r="H27" s="62" t="inlineStr">
        <is>
          <t>AI governance platform: policies, risk assessments, model inventory, supply chain tracking.</t>
        </is>
      </c>
      <c r="I27" s="62" t="inlineStr">
        <is>
          <t>AI governance and vendor risk management</t>
        </is>
      </c>
      <c r="J27" s="62" t="n"/>
    </row>
    <row r="28" ht="42" customHeight="1" s="55">
      <c r="A28" s="62" t="inlineStr">
        <is>
          <t>WitnessAI</t>
        </is>
      </c>
      <c r="B28" s="62" t="inlineStr">
        <is>
          <t>Independent</t>
        </is>
      </c>
      <c r="C28" s="62" t="inlineStr">
        <is>
          <t>SaaS</t>
        </is>
      </c>
      <c r="D28" s="62" t="inlineStr">
        <is>
          <t>Enterprise</t>
        </is>
      </c>
      <c r="E28" s="71" t="inlineStr">
        <is>
          <t>AI Posture &amp; Governance</t>
        </is>
      </c>
      <c r="F28" s="73" t="inlineStr">
        <is>
          <t>Shadow AI &amp; Usage Discovery</t>
        </is>
      </c>
      <c r="G28" s="72" t="inlineStr">
        <is>
          <t>Runtime Protection &amp; Guardrails</t>
        </is>
      </c>
      <c r="H28" s="62" t="inlineStr">
        <is>
          <t>Discovers AI usage, enforces policy, coaches users on safe AI practices.</t>
        </is>
      </c>
      <c r="I28" s="62" t="inlineStr">
        <is>
          <t>Safe AI enablement with visibility and coaching</t>
        </is>
      </c>
      <c r="J28" s="62" t="n"/>
    </row>
    <row r="29" ht="42" customHeight="1" s="55">
      <c r="A29" s="62" t="inlineStr">
        <is>
          <t>Acuvity</t>
        </is>
      </c>
      <c r="B29" s="62" t="inlineStr">
        <is>
          <t>Independent</t>
        </is>
      </c>
      <c r="C29" s="62" t="inlineStr">
        <is>
          <t>SaaS</t>
        </is>
      </c>
      <c r="D29" s="62" t="inlineStr">
        <is>
          <t>Enterprise</t>
        </is>
      </c>
      <c r="E29" s="71" t="inlineStr">
        <is>
          <t>AI Posture &amp; Governance</t>
        </is>
      </c>
      <c r="F29" s="75" t="inlineStr">
        <is>
          <t>Data Protection for AI</t>
        </is>
      </c>
      <c r="G29" s="73" t="inlineStr">
        <is>
          <t>Shadow AI &amp; Usage Discovery</t>
        </is>
      </c>
      <c r="H29" s="62" t="inlineStr">
        <is>
          <t>Unified discovery, governance, data protection across AI.</t>
        </is>
      </c>
      <c r="I29" s="62" t="inlineStr">
        <is>
          <t>Consolidating AI security into one platform</t>
        </is>
      </c>
      <c r="J29" s="62" t="n"/>
    </row>
    <row r="30" ht="42" customHeight="1" s="55">
      <c r="A30" s="62" t="inlineStr">
        <is>
          <t>Zenity</t>
        </is>
      </c>
      <c r="B30" s="62" t="inlineStr">
        <is>
          <t>Independent</t>
        </is>
      </c>
      <c r="C30" s="62" t="inlineStr">
        <is>
          <t>SaaS</t>
        </is>
      </c>
      <c r="D30" s="62" t="inlineStr">
        <is>
          <t>Enterprise</t>
        </is>
      </c>
      <c r="E30" s="71" t="inlineStr">
        <is>
          <t>AI Posture &amp; Governance</t>
        </is>
      </c>
      <c r="F30" s="76" t="inlineStr">
        <is>
          <t>NHI &amp; Agentic Access</t>
        </is>
      </c>
      <c r="G30" s="72" t="inlineStr">
        <is>
          <t>Runtime Protection &amp; Guardrails</t>
        </is>
      </c>
      <c r="H30" s="62" t="inlineStr">
        <is>
          <t>Agent-centric posture management; low-code / Copilot security specialist.</t>
        </is>
      </c>
      <c r="I30" s="62" t="inlineStr">
        <is>
          <t>Organizations deploying AI agents at scale</t>
        </is>
      </c>
      <c r="J30" s="62" t="n"/>
    </row>
    <row r="31" ht="42" customHeight="1" s="55">
      <c r="A31" s="62" t="inlineStr">
        <is>
          <t>Cato Networks (AIM Security)</t>
        </is>
      </c>
      <c r="B31" s="62" t="inlineStr">
        <is>
          <t>Acquired</t>
        </is>
      </c>
      <c r="C31" s="62" t="inlineStr">
        <is>
          <t>Platform</t>
        </is>
      </c>
      <c r="D31" s="62" t="inlineStr">
        <is>
          <t>Enterprise</t>
        </is>
      </c>
      <c r="E31" s="71" t="inlineStr">
        <is>
          <t>AI Posture &amp; Governance</t>
        </is>
      </c>
      <c r="F31" s="72" t="inlineStr">
        <is>
          <t>Runtime Protection &amp; Guardrails</t>
        </is>
      </c>
      <c r="G31" s="73" t="inlineStr">
        <is>
          <t>Shadow AI &amp; Usage Discovery</t>
        </is>
      </c>
      <c r="H31" s="62" t="inlineStr">
        <is>
          <t>Cato Networks first-ever acquisition (Sept 2025). Agentic AI security integrated into Cato SASE. AI-SPM + agent security.</t>
        </is>
      </c>
      <c r="I31" s="62" t="inlineStr">
        <is>
          <t>Cato SASE customers</t>
        </is>
      </c>
      <c r="J31" s="62" t="n"/>
    </row>
    <row r="32" ht="42" customHeight="1" s="55">
      <c r="A32" s="62" t="inlineStr">
        <is>
          <t>Legit Security</t>
        </is>
      </c>
      <c r="B32" s="62" t="inlineStr">
        <is>
          <t>Independent</t>
        </is>
      </c>
      <c r="C32" s="62" t="inlineStr">
        <is>
          <t>SaaS</t>
        </is>
      </c>
      <c r="D32" s="62" t="inlineStr">
        <is>
          <t>Enterprise</t>
        </is>
      </c>
      <c r="E32" s="77" t="inlineStr">
        <is>
          <t>AI Supply Chain</t>
        </is>
      </c>
      <c r="F32" s="71" t="inlineStr">
        <is>
          <t>AI Posture &amp; Governance</t>
        </is>
      </c>
      <c r="G32" s="72" t="inlineStr">
        <is>
          <t>Runtime Protection &amp; Guardrails</t>
        </is>
      </c>
      <c r="H32" s="62" t="inlineStr">
        <is>
          <t>AI Supply Chain via ASPM: AI code security, model supply chain, SDLC for ML.</t>
        </is>
      </c>
      <c r="I32" s="62" t="inlineStr">
        <is>
          <t>DevSecOps teams; AI in software supply chain</t>
        </is>
      </c>
      <c r="J32" s="62" t="n"/>
    </row>
    <row r="33" ht="42" customHeight="1" s="55">
      <c r="A33" s="62" t="inlineStr">
        <is>
          <t>Check Point (Lakera)</t>
        </is>
      </c>
      <c r="B33" s="62" t="inlineStr">
        <is>
          <t>Acquired</t>
        </is>
      </c>
      <c r="C33" s="62" t="inlineStr">
        <is>
          <t>Platform</t>
        </is>
      </c>
      <c r="D33" s="62" t="inlineStr">
        <is>
          <t>Enterprise</t>
        </is>
      </c>
      <c r="E33" s="72" t="inlineStr">
        <is>
          <t>Runtime Protection &amp; Guardrails</t>
        </is>
      </c>
      <c r="F33" s="71" t="inlineStr">
        <is>
          <t>AI Posture &amp; Governance</t>
        </is>
      </c>
      <c r="G33" s="77" t="inlineStr">
        <is>
          <t>AI Supply Chain</t>
        </is>
      </c>
      <c r="H33" s="62" t="inlineStr">
        <is>
          <t>Closed Q4 2025, $300M. Lakera runtime guardrails integrated into Check Point Infinity. Covers prompt injection, data leakage, MCP / RAG flow protection.</t>
        </is>
      </c>
      <c r="I33" s="62" t="inlineStr">
        <is>
          <t>Check Point customers; Infinity stack users</t>
        </is>
      </c>
      <c r="J33" s="62" t="n"/>
    </row>
    <row r="34" ht="42" customHeight="1" s="55">
      <c r="A34" s="62" t="inlineStr">
        <is>
          <t>TrojAI</t>
        </is>
      </c>
      <c r="B34" s="62" t="inlineStr">
        <is>
          <t>Independent</t>
        </is>
      </c>
      <c r="C34" s="62" t="inlineStr">
        <is>
          <t>Both</t>
        </is>
      </c>
      <c r="D34" s="62" t="inlineStr">
        <is>
          <t>Enterprise</t>
        </is>
      </c>
      <c r="E34" s="72" t="inlineStr">
        <is>
          <t>Runtime Protection &amp; Guardrails</t>
        </is>
      </c>
      <c r="F34" s="77" t="inlineStr">
        <is>
          <t>AI Supply Chain</t>
        </is>
      </c>
      <c r="G34" s="74" t="inlineStr">
        <is>
          <t>Observability &amp; Evaluation</t>
        </is>
      </c>
      <c r="H34" s="62" t="inlineStr">
        <is>
          <t>Model threat protection: backdoors, adversarial, model poisoning.</t>
        </is>
      </c>
      <c r="I34" s="62" t="inlineStr">
        <is>
          <t>Deep model hardening beyond prompt-level</t>
        </is>
      </c>
      <c r="J34" s="62" t="n"/>
    </row>
    <row r="35" ht="42" customHeight="1" s="55">
      <c r="A35" s="62" t="inlineStr">
        <is>
          <t>Arthur AI</t>
        </is>
      </c>
      <c r="B35" s="62" t="inlineStr">
        <is>
          <t>Independent</t>
        </is>
      </c>
      <c r="C35" s="62" t="inlineStr">
        <is>
          <t>Both</t>
        </is>
      </c>
      <c r="D35" s="62" t="inlineStr">
        <is>
          <t>Enterprise</t>
        </is>
      </c>
      <c r="E35" s="72" t="inlineStr">
        <is>
          <t>Runtime Protection &amp; Guardrails</t>
        </is>
      </c>
      <c r="F35" s="74" t="inlineStr">
        <is>
          <t>Observability &amp; Evaluation</t>
        </is>
      </c>
      <c r="G35" s="71" t="inlineStr">
        <is>
          <t>AI Posture &amp; Governance</t>
        </is>
      </c>
      <c r="H35" s="62" t="inlineStr">
        <is>
          <t>LLM firewall + observability: federated architecture, data stays local.</t>
        </is>
      </c>
      <c r="I35" s="62" t="inlineStr">
        <is>
          <t>Regulated industries; data residency requirements</t>
        </is>
      </c>
      <c r="J35" s="62" t="n"/>
    </row>
    <row r="36" ht="42" customHeight="1" s="55">
      <c r="A36" s="62" t="inlineStr">
        <is>
          <t>Mindgard</t>
        </is>
      </c>
      <c r="B36" s="62" t="inlineStr">
        <is>
          <t>Independent</t>
        </is>
      </c>
      <c r="C36" s="62" t="inlineStr">
        <is>
          <t>SaaS</t>
        </is>
      </c>
      <c r="D36" s="62" t="inlineStr">
        <is>
          <t>Enterprise</t>
        </is>
      </c>
      <c r="E36" s="72" t="inlineStr">
        <is>
          <t>Runtime Protection &amp; Guardrails</t>
        </is>
      </c>
      <c r="F36" s="74" t="inlineStr">
        <is>
          <t>Observability &amp; Evaluation</t>
        </is>
      </c>
      <c r="G36" s="77" t="inlineStr">
        <is>
          <t>AI Supply Chain</t>
        </is>
      </c>
      <c r="H36" s="62" t="inlineStr">
        <is>
          <t>Offensive AI security: automated red teaming, vuln scanning, supply chain testing.</t>
        </is>
      </c>
      <c r="I36" s="62" t="inlineStr">
        <is>
          <t>Continuous AI security testing</t>
        </is>
      </c>
      <c r="J36" s="62" t="n"/>
    </row>
    <row r="37" ht="42" customHeight="1" s="55">
      <c r="A37" s="62" t="inlineStr">
        <is>
          <t>F5 (CalypsoAI)</t>
        </is>
      </c>
      <c r="B37" s="62" t="inlineStr">
        <is>
          <t>Acquired</t>
        </is>
      </c>
      <c r="C37" s="62" t="inlineStr">
        <is>
          <t>Platform</t>
        </is>
      </c>
      <c r="D37" s="62" t="inlineStr">
        <is>
          <t>Enterprise</t>
        </is>
      </c>
      <c r="E37" s="72" t="inlineStr">
        <is>
          <t>Runtime Protection &amp; Guardrails</t>
        </is>
      </c>
      <c r="F37" s="74" t="inlineStr">
        <is>
          <t>Observability &amp; Evaluation</t>
        </is>
      </c>
      <c r="G37" s="77" t="inlineStr">
        <is>
          <t>AI Supply Chain</t>
        </is>
      </c>
      <c r="H37" s="62" t="inlineStr">
        <is>
          <t>Closed Q4 FY25, $180M. CalypsoAI integrated into F5 AI Gateway and API Security. Inference protection and red-teaming for enterprise LLM apps.</t>
        </is>
      </c>
      <c r="I37" s="62" t="inlineStr">
        <is>
          <t>F5 customers; API / app security integration</t>
        </is>
      </c>
      <c r="J37" s="62" t="n"/>
    </row>
    <row r="38" ht="42" customHeight="1" s="55">
      <c r="A38" s="62" t="inlineStr">
        <is>
          <t>Rebuff AI</t>
        </is>
      </c>
      <c r="B38" s="62" t="inlineStr">
        <is>
          <t>Independent</t>
        </is>
      </c>
      <c r="C38" s="62" t="inlineStr">
        <is>
          <t>OSS</t>
        </is>
      </c>
      <c r="D38" s="62" t="inlineStr">
        <is>
          <t>Free / OSS</t>
        </is>
      </c>
      <c r="E38" s="72" t="inlineStr">
        <is>
          <t>Runtime Protection &amp; Guardrails</t>
        </is>
      </c>
      <c r="F38" s="74" t="inlineStr">
        <is>
          <t>Observability &amp; Evaluation</t>
        </is>
      </c>
      <c r="G38" s="62" t="n"/>
      <c r="H38" s="62" t="inlineStr">
        <is>
          <t>Open source prompt injection detection; self-hardening through attack learning.</t>
        </is>
      </c>
      <c r="I38" s="62" t="inlineStr">
        <is>
          <t>OSS-first teams; cost-conscious</t>
        </is>
      </c>
      <c r="J38" s="62" t="n"/>
    </row>
    <row r="39" ht="42" customHeight="1" s="55">
      <c r="A39" s="62" t="inlineStr">
        <is>
          <t>LLM Guard</t>
        </is>
      </c>
      <c r="B39" s="62" t="inlineStr">
        <is>
          <t>Independent</t>
        </is>
      </c>
      <c r="C39" s="62" t="inlineStr">
        <is>
          <t>OSS</t>
        </is>
      </c>
      <c r="D39" s="62" t="inlineStr">
        <is>
          <t>Free / OSS</t>
        </is>
      </c>
      <c r="E39" s="72" t="inlineStr">
        <is>
          <t>Runtime Protection &amp; Guardrails</t>
        </is>
      </c>
      <c r="F39" s="75" t="inlineStr">
        <is>
          <t>Data Protection for AI</t>
        </is>
      </c>
      <c r="G39" s="62" t="n"/>
      <c r="H39" s="62" t="inlineStr">
        <is>
          <t>Open source input/output scanner: PII, toxicity, prompt injection.</t>
        </is>
      </c>
      <c r="I39" s="62" t="inlineStr">
        <is>
          <t>OSS-first orgs; customizable guardrails</t>
        </is>
      </c>
      <c r="J39" s="62" t="n"/>
    </row>
    <row r="40" ht="42" customHeight="1" s="55">
      <c r="A40" s="62" t="inlineStr">
        <is>
          <t>Prompt Armor</t>
        </is>
      </c>
      <c r="B40" s="62" t="inlineStr">
        <is>
          <t>Independent</t>
        </is>
      </c>
      <c r="C40" s="62" t="inlineStr">
        <is>
          <t>SaaS</t>
        </is>
      </c>
      <c r="D40" s="62" t="inlineStr">
        <is>
          <t>Enterprise</t>
        </is>
      </c>
      <c r="E40" s="72" t="inlineStr">
        <is>
          <t>Runtime Protection &amp; Guardrails</t>
        </is>
      </c>
      <c r="F40" s="75" t="inlineStr">
        <is>
          <t>Data Protection for AI</t>
        </is>
      </c>
      <c r="G40" s="74" t="inlineStr">
        <is>
          <t>Observability &amp; Evaluation</t>
        </is>
      </c>
      <c r="H40" s="62" t="inlineStr">
        <is>
          <t>Prompt injection firewall; real-time threat detection for LLM apps.</t>
        </is>
      </c>
      <c r="I40" s="62" t="inlineStr">
        <is>
          <t>Dedicated prompt security; API-first deployment</t>
        </is>
      </c>
      <c r="J40" s="62" t="n"/>
    </row>
    <row r="41" ht="42" customHeight="1" s="55">
      <c r="A41" s="62" t="inlineStr">
        <is>
          <t>Invariant Labs</t>
        </is>
      </c>
      <c r="B41" s="62" t="inlineStr">
        <is>
          <t>Independent</t>
        </is>
      </c>
      <c r="C41" s="62" t="inlineStr">
        <is>
          <t>SaaS</t>
        </is>
      </c>
      <c r="D41" s="62" t="inlineStr">
        <is>
          <t>Enterprise</t>
        </is>
      </c>
      <c r="E41" s="72" t="inlineStr">
        <is>
          <t>Runtime Protection &amp; Guardrails</t>
        </is>
      </c>
      <c r="F41" s="76" t="inlineStr">
        <is>
          <t>NHI &amp; Agentic Access</t>
        </is>
      </c>
      <c r="G41" s="74" t="inlineStr">
        <is>
          <t>Observability &amp; Evaluation</t>
        </is>
      </c>
      <c r="H41" s="62" t="inlineStr">
        <is>
          <t>Agent security testing and guardrails; detects agent vulnerabilities.</t>
        </is>
      </c>
      <c r="I41" s="62" t="inlineStr">
        <is>
          <t>Agentic AI security testing</t>
        </is>
      </c>
      <c r="J41" s="62" t="n"/>
    </row>
    <row r="42" ht="42" customHeight="1" s="55">
      <c r="A42" s="62" t="inlineStr">
        <is>
          <t>SentinelOne (Prompt Security)</t>
        </is>
      </c>
      <c r="B42" s="62" t="inlineStr">
        <is>
          <t>Acquired</t>
        </is>
      </c>
      <c r="C42" s="62" t="inlineStr">
        <is>
          <t>Platform</t>
        </is>
      </c>
      <c r="D42" s="62" t="inlineStr">
        <is>
          <t>Enterprise</t>
        </is>
      </c>
      <c r="E42" s="73" t="inlineStr">
        <is>
          <t>Shadow AI &amp; Usage Discovery</t>
        </is>
      </c>
      <c r="F42" s="72" t="inlineStr">
        <is>
          <t>Runtime Protection &amp; Guardrails</t>
        </is>
      </c>
      <c r="G42" s="75" t="inlineStr">
        <is>
          <t>Data Protection for AI</t>
        </is>
      </c>
      <c r="H42" s="62" t="inlineStr">
        <is>
          <t>SentinelOne acquired Prompt Security for $133.6M (Sept 2025) and Observo AI for $225M (Q3 FY26). Purple AI + Prompt Security + Observo form autonomous AI security stack.</t>
        </is>
      </c>
      <c r="I42" s="62" t="inlineStr">
        <is>
          <t>SentinelOne customers; GenAI visibility</t>
        </is>
      </c>
      <c r="J42" s="62" t="n"/>
    </row>
    <row r="43" ht="42" customHeight="1" s="55">
      <c r="A43" s="62" t="inlineStr">
        <is>
          <t>Harmonic Security</t>
        </is>
      </c>
      <c r="B43" s="62" t="inlineStr">
        <is>
          <t>Independent</t>
        </is>
      </c>
      <c r="C43" s="62" t="inlineStr">
        <is>
          <t>SaaS</t>
        </is>
      </c>
      <c r="D43" s="62" t="inlineStr">
        <is>
          <t>Enterprise</t>
        </is>
      </c>
      <c r="E43" s="73" t="inlineStr">
        <is>
          <t>Shadow AI &amp; Usage Discovery</t>
        </is>
      </c>
      <c r="F43" s="75" t="inlineStr">
        <is>
          <t>Data Protection for AI</t>
        </is>
      </c>
      <c r="G43" s="71" t="inlineStr">
        <is>
          <t>AI Posture &amp; Governance</t>
        </is>
      </c>
      <c r="H43" s="62" t="inlineStr">
        <is>
          <t>Shadow AI discovery + GenAI-aware DLP.</t>
        </is>
      </c>
      <c r="I43" s="62" t="inlineStr">
        <is>
          <t>DLP specifically tuned for GenAI</t>
        </is>
      </c>
      <c r="J43" s="62" t="n"/>
    </row>
    <row r="44" ht="42" customHeight="1" s="55">
      <c r="A44" s="62" t="inlineStr">
        <is>
          <t>Nightfall AI</t>
        </is>
      </c>
      <c r="B44" s="62" t="inlineStr">
        <is>
          <t>Independent</t>
        </is>
      </c>
      <c r="C44" s="62" t="inlineStr">
        <is>
          <t>SaaS</t>
        </is>
      </c>
      <c r="D44" s="62" t="inlineStr">
        <is>
          <t>Enterprise</t>
        </is>
      </c>
      <c r="E44" s="73" t="inlineStr">
        <is>
          <t>Shadow AI &amp; Usage Discovery</t>
        </is>
      </c>
      <c r="F44" s="75" t="inlineStr">
        <is>
          <t>Data Protection for AI</t>
        </is>
      </c>
      <c r="G44" s="72" t="inlineStr">
        <is>
          <t>Runtime Protection &amp; Guardrails</t>
        </is>
      </c>
      <c r="H44" s="62" t="inlineStr">
        <is>
          <t>AI-native DLP + GenAI firewall.</t>
        </is>
      </c>
      <c r="I44" s="62" t="inlineStr">
        <is>
          <t>Cloud-native DLP for AI applications</t>
        </is>
      </c>
      <c r="J44" s="62" t="n"/>
    </row>
    <row r="45" ht="42" customHeight="1" s="55">
      <c r="A45" s="62" t="inlineStr">
        <is>
          <t>Reco.ai</t>
        </is>
      </c>
      <c r="B45" s="62" t="inlineStr">
        <is>
          <t>Independent</t>
        </is>
      </c>
      <c r="C45" s="62" t="inlineStr">
        <is>
          <t>SaaS</t>
        </is>
      </c>
      <c r="D45" s="62" t="inlineStr">
        <is>
          <t>Enterprise</t>
        </is>
      </c>
      <c r="E45" s="73" t="inlineStr">
        <is>
          <t>Shadow AI &amp; Usage Discovery</t>
        </is>
      </c>
      <c r="F45" s="75" t="inlineStr">
        <is>
          <t>Data Protection for AI</t>
        </is>
      </c>
      <c r="G45" s="71" t="inlineStr">
        <is>
          <t>AI Posture &amp; Governance</t>
        </is>
      </c>
      <c r="H45" s="62" t="inlineStr">
        <is>
          <t>SaaS security + AI discovery: finds AI apps, tracks data flows, enforces policy.</t>
        </is>
      </c>
      <c r="I45" s="62" t="inlineStr">
        <is>
          <t>SaaS security teams extending to AI</t>
        </is>
      </c>
      <c r="J45" s="62" t="n"/>
    </row>
    <row r="46" ht="42" customHeight="1" s="55">
      <c r="A46" s="62" t="inlineStr">
        <is>
          <t>Arize AI</t>
        </is>
      </c>
      <c r="B46" s="62" t="inlineStr">
        <is>
          <t>Independent</t>
        </is>
      </c>
      <c r="C46" s="62" t="inlineStr">
        <is>
          <t>Both</t>
        </is>
      </c>
      <c r="D46" s="62" t="inlineStr">
        <is>
          <t>Team + Enterprise</t>
        </is>
      </c>
      <c r="E46" s="74" t="inlineStr">
        <is>
          <t>Observability &amp; Evaluation</t>
        </is>
      </c>
      <c r="F46" s="71" t="inlineStr">
        <is>
          <t>AI Posture &amp; Governance</t>
        </is>
      </c>
      <c r="G46" s="72" t="inlineStr">
        <is>
          <t>Runtime Protection &amp; Guardrails</t>
        </is>
      </c>
      <c r="H46" s="62" t="inlineStr">
        <is>
          <t>Enterprise AI observability: Phoenix OSS + AX enterprise platform.</t>
        </is>
      </c>
      <c r="I46" s="62" t="inlineStr">
        <is>
          <t>Production ML / LLM monitoring</t>
        </is>
      </c>
      <c r="J46" s="62" t="n"/>
    </row>
    <row r="47" ht="42" customHeight="1" s="55">
      <c r="A47" s="62" t="inlineStr">
        <is>
          <t>Patronus AI</t>
        </is>
      </c>
      <c r="B47" s="62" t="inlineStr">
        <is>
          <t>Independent</t>
        </is>
      </c>
      <c r="C47" s="62" t="inlineStr">
        <is>
          <t>SaaS</t>
        </is>
      </c>
      <c r="D47" s="62" t="inlineStr">
        <is>
          <t>Enterprise</t>
        </is>
      </c>
      <c r="E47" s="74" t="inlineStr">
        <is>
          <t>Observability &amp; Evaluation</t>
        </is>
      </c>
      <c r="F47" s="72" t="inlineStr">
        <is>
          <t>Runtime Protection &amp; Guardrails</t>
        </is>
      </c>
      <c r="G47" s="71" t="inlineStr">
        <is>
          <t>AI Posture &amp; Governance</t>
        </is>
      </c>
      <c r="H47" s="62" t="inlineStr">
        <is>
          <t>LLM evaluation: hallucination detection, automated testing.</t>
        </is>
      </c>
      <c r="I47" s="62" t="inlineStr">
        <is>
          <t>LLM quality assurance</t>
        </is>
      </c>
      <c r="J47" s="62" t="n"/>
    </row>
    <row r="48" ht="42" customHeight="1" s="55">
      <c r="A48" s="62" t="inlineStr">
        <is>
          <t>Fiddler AI</t>
        </is>
      </c>
      <c r="B48" s="62" t="inlineStr">
        <is>
          <t>Independent</t>
        </is>
      </c>
      <c r="C48" s="62" t="inlineStr">
        <is>
          <t>Both</t>
        </is>
      </c>
      <c r="D48" s="62" t="inlineStr">
        <is>
          <t>Enterprise</t>
        </is>
      </c>
      <c r="E48" s="74" t="inlineStr">
        <is>
          <t>Observability &amp; Evaluation</t>
        </is>
      </c>
      <c r="F48" s="71" t="inlineStr">
        <is>
          <t>AI Posture &amp; Governance</t>
        </is>
      </c>
      <c r="G48" s="75" t="inlineStr">
        <is>
          <t>Data Protection for AI</t>
        </is>
      </c>
      <c r="H48" s="62" t="inlineStr">
        <is>
          <t>Trust Service for LLMs: model scoring, guardrails, explainability.</t>
        </is>
      </c>
      <c r="I48" s="62" t="inlineStr">
        <is>
          <t>Regulated industries needing explainability</t>
        </is>
      </c>
      <c r="J48" s="62" t="n"/>
    </row>
    <row r="49" ht="42" customHeight="1" s="55">
      <c r="A49" s="62" t="inlineStr">
        <is>
          <t>Datadog LLM Observability</t>
        </is>
      </c>
      <c r="B49" s="62" t="inlineStr">
        <is>
          <t>Platform</t>
        </is>
      </c>
      <c r="C49" s="62" t="inlineStr">
        <is>
          <t>SaaS</t>
        </is>
      </c>
      <c r="D49" s="62" t="inlineStr">
        <is>
          <t>Team + Enterprise</t>
        </is>
      </c>
      <c r="E49" s="74" t="inlineStr">
        <is>
          <t>Observability &amp; Evaluation</t>
        </is>
      </c>
      <c r="F49" s="71" t="inlineStr">
        <is>
          <t>AI Posture &amp; Governance</t>
        </is>
      </c>
      <c r="G49" s="62" t="n"/>
      <c r="H49" s="62" t="inlineStr">
        <is>
          <t>LLM monitoring: prompt injection detection, PII scanning, cost tracking.</t>
        </is>
      </c>
      <c r="I49" s="62" t="inlineStr">
        <is>
          <t>Datadog customers</t>
        </is>
      </c>
      <c r="J49" s="62" t="n"/>
    </row>
    <row r="50" ht="42" customHeight="1" s="55">
      <c r="A50" s="62" t="inlineStr">
        <is>
          <t>LangSmith (LangChain)</t>
        </is>
      </c>
      <c r="B50" s="62" t="inlineStr">
        <is>
          <t>Independent</t>
        </is>
      </c>
      <c r="C50" s="62" t="inlineStr">
        <is>
          <t>Both</t>
        </is>
      </c>
      <c r="D50" s="62" t="inlineStr">
        <is>
          <t>Team + Enterprise</t>
        </is>
      </c>
      <c r="E50" s="74" t="inlineStr">
        <is>
          <t>Observability &amp; Evaluation</t>
        </is>
      </c>
      <c r="F50" s="71" t="inlineStr">
        <is>
          <t>AI Posture &amp; Governance</t>
        </is>
      </c>
      <c r="G50" s="62" t="n"/>
      <c r="H50" s="62" t="inlineStr">
        <is>
          <t>LLM app debugging and monitoring; traces, evaluations, prompt management.</t>
        </is>
      </c>
      <c r="I50" s="62" t="inlineStr">
        <is>
          <t>LangChain users; LLM app developers</t>
        </is>
      </c>
      <c r="J50" s="62" t="n"/>
    </row>
    <row r="51" ht="42" customHeight="1" s="55">
      <c r="A51" s="62" t="inlineStr">
        <is>
          <t>Weights &amp; Biases</t>
        </is>
      </c>
      <c r="B51" s="62" t="inlineStr">
        <is>
          <t>Independent</t>
        </is>
      </c>
      <c r="C51" s="62" t="inlineStr">
        <is>
          <t>Both</t>
        </is>
      </c>
      <c r="D51" s="62" t="inlineStr">
        <is>
          <t>Team + Enterprise</t>
        </is>
      </c>
      <c r="E51" s="74" t="inlineStr">
        <is>
          <t>Observability &amp; Evaluation</t>
        </is>
      </c>
      <c r="F51" s="71" t="inlineStr">
        <is>
          <t>AI Posture &amp; Governance</t>
        </is>
      </c>
      <c r="G51" s="62" t="n"/>
      <c r="H51" s="62" t="inlineStr">
        <is>
          <t>MLOps platform: experiment tracking, model registry, LLM tracing.</t>
        </is>
      </c>
      <c r="I51" s="62" t="inlineStr">
        <is>
          <t>ML teams; experiment tracking</t>
        </is>
      </c>
      <c r="J51" s="62" t="n"/>
    </row>
    <row r="52" ht="42" customHeight="1" s="55">
      <c r="A52" s="62" t="inlineStr">
        <is>
          <t>Galileo AI</t>
        </is>
      </c>
      <c r="B52" s="62" t="inlineStr">
        <is>
          <t>Independent</t>
        </is>
      </c>
      <c r="C52" s="62" t="inlineStr">
        <is>
          <t>SaaS</t>
        </is>
      </c>
      <c r="D52" s="62" t="inlineStr">
        <is>
          <t>Enterprise</t>
        </is>
      </c>
      <c r="E52" s="74" t="inlineStr">
        <is>
          <t>Observability &amp; Evaluation</t>
        </is>
      </c>
      <c r="F52" s="72" t="inlineStr">
        <is>
          <t>Runtime Protection &amp; Guardrails</t>
        </is>
      </c>
      <c r="G52" s="75" t="inlineStr">
        <is>
          <t>Data Protection for AI</t>
        </is>
      </c>
      <c r="H52" s="62" t="inlineStr">
        <is>
          <t>LLM debugging and evaluation: hallucination, data quality, guardrails.</t>
        </is>
      </c>
      <c r="I52" s="62" t="inlineStr">
        <is>
          <t>LLM debugging; data scientists</t>
        </is>
      </c>
      <c r="J52" s="62" t="n"/>
    </row>
    <row r="53" ht="42" customHeight="1" s="55">
      <c r="A53" s="62" t="inlineStr">
        <is>
          <t>Portkey</t>
        </is>
      </c>
      <c r="B53" s="62" t="inlineStr">
        <is>
          <t>Independent</t>
        </is>
      </c>
      <c r="C53" s="62" t="inlineStr">
        <is>
          <t>SaaS</t>
        </is>
      </c>
      <c r="D53" s="62" t="inlineStr">
        <is>
          <t>Team + Enterprise</t>
        </is>
      </c>
      <c r="E53" s="74" t="inlineStr">
        <is>
          <t>Observability &amp; Evaluation</t>
        </is>
      </c>
      <c r="F53" s="72" t="inlineStr">
        <is>
          <t>Runtime Protection &amp; Guardrails</t>
        </is>
      </c>
      <c r="G53" s="71" t="inlineStr">
        <is>
          <t>AI Posture &amp; Governance</t>
        </is>
      </c>
      <c r="H53" s="62" t="inlineStr">
        <is>
          <t>LLM gateway and observability: unified API, caching, fallbacks, cost mgmt.</t>
        </is>
      </c>
      <c r="I53" s="62" t="inlineStr">
        <is>
          <t>Multi-LLM deployments; cost optimization</t>
        </is>
      </c>
      <c r="J53" s="62" t="n"/>
    </row>
    <row r="54" ht="42" customHeight="1" s="55">
      <c r="A54" s="62" t="inlineStr">
        <is>
          <t>Helicone</t>
        </is>
      </c>
      <c r="B54" s="62" t="inlineStr">
        <is>
          <t>Independent</t>
        </is>
      </c>
      <c r="C54" s="62" t="inlineStr">
        <is>
          <t>Both</t>
        </is>
      </c>
      <c r="D54" s="62" t="inlineStr">
        <is>
          <t>Free / Team</t>
        </is>
      </c>
      <c r="E54" s="74" t="inlineStr">
        <is>
          <t>Observability &amp; Evaluation</t>
        </is>
      </c>
      <c r="F54" s="71" t="inlineStr">
        <is>
          <t>AI Posture &amp; Governance</t>
        </is>
      </c>
      <c r="G54" s="62" t="n"/>
      <c r="H54" s="62" t="inlineStr">
        <is>
          <t>Open source LLM observability: logging, caching, rate limiting.</t>
        </is>
      </c>
      <c r="I54" s="62" t="inlineStr">
        <is>
          <t>OSS-first; LLM monitoring on budget</t>
        </is>
      </c>
      <c r="J54" s="62" t="n"/>
    </row>
    <row r="55" ht="42" customHeight="1" s="55">
      <c r="A55" s="62" t="inlineStr">
        <is>
          <t>Cyera</t>
        </is>
      </c>
      <c r="B55" s="62" t="inlineStr">
        <is>
          <t>Independent</t>
        </is>
      </c>
      <c r="C55" s="62" t="inlineStr">
        <is>
          <t>SaaS</t>
        </is>
      </c>
      <c r="D55" s="62" t="inlineStr">
        <is>
          <t>Enterprise</t>
        </is>
      </c>
      <c r="E55" s="75" t="inlineStr">
        <is>
          <t>Data Protection for AI</t>
        </is>
      </c>
      <c r="F55" s="71" t="inlineStr">
        <is>
          <t>AI Posture &amp; Governance</t>
        </is>
      </c>
      <c r="G55" s="73" t="inlineStr">
        <is>
          <t>Shadow AI &amp; Usage Discovery</t>
        </is>
      </c>
      <c r="H55" s="62" t="inlineStr">
        <is>
          <t>DSPM leader: AI Guardian, 98% classification accuracy.</t>
        </is>
      </c>
      <c r="I55" s="62" t="inlineStr">
        <is>
          <t>Enterprise DSPM; AI data governance</t>
        </is>
      </c>
      <c r="J55" s="62" t="n"/>
    </row>
    <row r="56" ht="42" customHeight="1" s="55">
      <c r="A56" s="62" t="inlineStr">
        <is>
          <t>BigID</t>
        </is>
      </c>
      <c r="B56" s="62" t="inlineStr">
        <is>
          <t>Independent</t>
        </is>
      </c>
      <c r="C56" s="62" t="inlineStr">
        <is>
          <t>Both</t>
        </is>
      </c>
      <c r="D56" s="62" t="inlineStr">
        <is>
          <t>Enterprise</t>
        </is>
      </c>
      <c r="E56" s="75" t="inlineStr">
        <is>
          <t>Data Protection for AI</t>
        </is>
      </c>
      <c r="F56" s="71" t="inlineStr">
        <is>
          <t>AI Posture &amp; Governance</t>
        </is>
      </c>
      <c r="G56" s="73" t="inlineStr">
        <is>
          <t>Shadow AI &amp; Usage Discovery</t>
        </is>
      </c>
      <c r="H56" s="62" t="inlineStr">
        <is>
          <t>Shadow AI detection + AI governance: discovers AI data / models.</t>
        </is>
      </c>
      <c r="I56" s="62" t="inlineStr">
        <is>
          <t>Data discovery and governance for AI</t>
        </is>
      </c>
      <c r="J56" s="62" t="n"/>
    </row>
    <row r="57" ht="42" customHeight="1" s="55">
      <c r="A57" s="62" t="inlineStr">
        <is>
          <t>Netskope</t>
        </is>
      </c>
      <c r="B57" s="62" t="inlineStr">
        <is>
          <t>Independent</t>
        </is>
      </c>
      <c r="C57" s="62" t="inlineStr">
        <is>
          <t>Platform</t>
        </is>
      </c>
      <c r="D57" s="62" t="inlineStr">
        <is>
          <t>Enterprise</t>
        </is>
      </c>
      <c r="E57" s="75" t="inlineStr">
        <is>
          <t>Data Protection for AI</t>
        </is>
      </c>
      <c r="F57" s="73" t="inlineStr">
        <is>
          <t>Shadow AI &amp; Usage Discovery</t>
        </is>
      </c>
      <c r="G57" s="72" t="inlineStr">
        <is>
          <t>Runtime Protection &amp; Guardrails</t>
        </is>
      </c>
      <c r="H57" s="62" t="inlineStr">
        <is>
          <t>SASE + GenAI DLP: real-time coaching, data protection.</t>
        </is>
      </c>
      <c r="I57" s="62" t="inlineStr">
        <is>
          <t>SASE customers; GenAI-aware DLP</t>
        </is>
      </c>
      <c r="J57" s="62" t="n"/>
    </row>
    <row r="58" ht="42" customHeight="1" s="55">
      <c r="A58" s="62" t="inlineStr">
        <is>
          <t>Zscaler</t>
        </is>
      </c>
      <c r="B58" s="62" t="inlineStr">
        <is>
          <t>Independent</t>
        </is>
      </c>
      <c r="C58" s="62" t="inlineStr">
        <is>
          <t>Platform</t>
        </is>
      </c>
      <c r="D58" s="62" t="inlineStr">
        <is>
          <t>Enterprise</t>
        </is>
      </c>
      <c r="E58" s="75" t="inlineStr">
        <is>
          <t>Data Protection for AI</t>
        </is>
      </c>
      <c r="F58" s="73" t="inlineStr">
        <is>
          <t>Shadow AI &amp; Usage Discovery</t>
        </is>
      </c>
      <c r="G58" s="72" t="inlineStr">
        <is>
          <t>Runtime Protection &amp; Guardrails</t>
        </is>
      </c>
      <c r="H58" s="62" t="inlineStr">
        <is>
          <t>Zero trust + AI security: GenAI app control, data protection, shadow AI.</t>
        </is>
      </c>
      <c r="I58" s="62" t="inlineStr">
        <is>
          <t>Zscaler customers</t>
        </is>
      </c>
      <c r="J58" s="62" t="n"/>
    </row>
    <row r="59" ht="42" customHeight="1" s="55">
      <c r="A59" s="62" t="inlineStr">
        <is>
          <t>Island Browser</t>
        </is>
      </c>
      <c r="B59" s="62" t="inlineStr">
        <is>
          <t>Independent</t>
        </is>
      </c>
      <c r="C59" s="62" t="inlineStr">
        <is>
          <t>SaaS</t>
        </is>
      </c>
      <c r="D59" s="62" t="inlineStr">
        <is>
          <t>Enterprise</t>
        </is>
      </c>
      <c r="E59" s="75" t="inlineStr">
        <is>
          <t>Data Protection for AI</t>
        </is>
      </c>
      <c r="F59" s="73" t="inlineStr">
        <is>
          <t>Shadow AI &amp; Usage Discovery</t>
        </is>
      </c>
      <c r="G59" s="71" t="inlineStr">
        <is>
          <t>AI Posture &amp; Governance</t>
        </is>
      </c>
      <c r="H59" s="62" t="inlineStr">
        <is>
          <t>Enterprise browser with AI controls: DLP, session recording.</t>
        </is>
      </c>
      <c r="I59" s="62" t="inlineStr">
        <is>
          <t>Browser-based AI control</t>
        </is>
      </c>
      <c r="J59" s="62" t="n"/>
    </row>
    <row r="60" ht="42" customHeight="1" s="55">
      <c r="A60" s="62" t="inlineStr">
        <is>
          <t>Knostic</t>
        </is>
      </c>
      <c r="B60" s="62" t="inlineStr">
        <is>
          <t>Independent</t>
        </is>
      </c>
      <c r="C60" s="62" t="inlineStr">
        <is>
          <t>SaaS</t>
        </is>
      </c>
      <c r="D60" s="62" t="inlineStr">
        <is>
          <t>Enterprise</t>
        </is>
      </c>
      <c r="E60" s="75" t="inlineStr">
        <is>
          <t>Data Protection for AI</t>
        </is>
      </c>
      <c r="F60" s="71" t="inlineStr">
        <is>
          <t>AI Posture &amp; Governance</t>
        </is>
      </c>
      <c r="G60" s="72" t="inlineStr">
        <is>
          <t>Runtime Protection &amp; Guardrails</t>
        </is>
      </c>
      <c r="H60" s="62" t="inlineStr">
        <is>
          <t>Need-to-know access for AI: context-aware data protection, RAG security.</t>
        </is>
      </c>
      <c r="I60" s="62" t="inlineStr">
        <is>
          <t>RAG deployments</t>
        </is>
      </c>
      <c r="J60" s="62" t="n"/>
    </row>
    <row r="61" ht="42" customHeight="1" s="55">
      <c r="A61" s="62" t="inlineStr">
        <is>
          <t>AWS Bedrock Guardrails</t>
        </is>
      </c>
      <c r="B61" s="62" t="inlineStr">
        <is>
          <t>Platform</t>
        </is>
      </c>
      <c r="C61" s="62" t="inlineStr">
        <is>
          <t>Platform</t>
        </is>
      </c>
      <c r="D61" s="62" t="inlineStr">
        <is>
          <t>Included in platform</t>
        </is>
      </c>
      <c r="E61" s="75" t="inlineStr">
        <is>
          <t>Data Protection for AI</t>
        </is>
      </c>
      <c r="F61" s="72" t="inlineStr">
        <is>
          <t>Runtime Protection &amp; Guardrails</t>
        </is>
      </c>
      <c r="G61" s="62" t="n"/>
      <c r="H61" s="62" t="inlineStr">
        <is>
          <t>Model-agnostic guardrails: Automated Reasoning for 99% hallucination prevention.</t>
        </is>
      </c>
      <c r="I61" s="62" t="inlineStr">
        <is>
          <t>AWS customers; Bedrock users</t>
        </is>
      </c>
      <c r="J61" s="62" t="n"/>
    </row>
    <row r="62" ht="42" customHeight="1" s="55">
      <c r="A62" s="62" t="inlineStr">
        <is>
          <t>Google Cloud Model Armor</t>
        </is>
      </c>
      <c r="B62" s="62" t="inlineStr">
        <is>
          <t>Platform</t>
        </is>
      </c>
      <c r="C62" s="62" t="inlineStr">
        <is>
          <t>Platform</t>
        </is>
      </c>
      <c r="D62" s="62" t="inlineStr">
        <is>
          <t>Included in platform</t>
        </is>
      </c>
      <c r="E62" s="75" t="inlineStr">
        <is>
          <t>Data Protection for AI</t>
        </is>
      </c>
      <c r="F62" s="72" t="inlineStr">
        <is>
          <t>Runtime Protection &amp; Guardrails</t>
        </is>
      </c>
      <c r="G62" s="62" t="n"/>
      <c r="H62" s="62" t="inlineStr">
        <is>
          <t>Runtime security for any LLM: prompt injection, sensitive data, malicious URL.</t>
        </is>
      </c>
      <c r="I62" s="62" t="inlineStr">
        <is>
          <t>GCP customers; Vertex AI users</t>
        </is>
      </c>
      <c r="J62" s="62" t="n"/>
    </row>
    <row r="63" ht="42" customHeight="1" s="55">
      <c r="A63" s="62" t="inlineStr">
        <is>
          <t>Silverfort</t>
        </is>
      </c>
      <c r="B63" s="62" t="inlineStr">
        <is>
          <t>Independent</t>
        </is>
      </c>
      <c r="C63" s="62" t="inlineStr">
        <is>
          <t>SaaS</t>
        </is>
      </c>
      <c r="D63" s="62" t="inlineStr">
        <is>
          <t>Enterprise</t>
        </is>
      </c>
      <c r="E63" s="76" t="inlineStr">
        <is>
          <t>NHI &amp; Agentic Access</t>
        </is>
      </c>
      <c r="F63" s="73" t="inlineStr">
        <is>
          <t>Shadow AI &amp; Usage Discovery</t>
        </is>
      </c>
      <c r="G63" s="71" t="inlineStr">
        <is>
          <t>AI Posture &amp; Governance</t>
        </is>
      </c>
      <c r="H63" s="62" t="inlineStr">
        <is>
          <t>NHI leader: unified human + non-human identity; NHI visibility.</t>
        </is>
      </c>
      <c r="I63" s="62" t="inlineStr">
        <is>
          <t>Enterprise IAM extending to NHI</t>
        </is>
      </c>
      <c r="J63" s="62" t="n"/>
    </row>
    <row r="64" ht="42" customHeight="1" s="55">
      <c r="A64" s="62" t="inlineStr">
        <is>
          <t>Astrix Security</t>
        </is>
      </c>
      <c r="B64" s="62" t="inlineStr">
        <is>
          <t>Independent</t>
        </is>
      </c>
      <c r="C64" s="62" t="inlineStr">
        <is>
          <t>SaaS</t>
        </is>
      </c>
      <c r="D64" s="62" t="inlineStr">
        <is>
          <t>Enterprise</t>
        </is>
      </c>
      <c r="E64" s="76" t="inlineStr">
        <is>
          <t>NHI &amp; Agentic Access</t>
        </is>
      </c>
      <c r="F64" s="73" t="inlineStr">
        <is>
          <t>Shadow AI &amp; Usage Discovery</t>
        </is>
      </c>
      <c r="G64" s="71" t="inlineStr">
        <is>
          <t>AI Posture &amp; Governance</t>
        </is>
      </c>
      <c r="H64" s="62" t="inlineStr">
        <is>
          <t>Dedicated NHI platform: agent inventory, least-privilege; token monitoring.</t>
        </is>
      </c>
      <c r="I64" s="62" t="inlineStr">
        <is>
          <t>NHI-first security; agentic AI deployments</t>
        </is>
      </c>
      <c r="J64" s="62" t="n"/>
    </row>
    <row r="65" ht="42" customHeight="1" s="55">
      <c r="A65" s="62" t="inlineStr">
        <is>
          <t>Oasis Security</t>
        </is>
      </c>
      <c r="B65" s="62" t="inlineStr">
        <is>
          <t>Independent</t>
        </is>
      </c>
      <c r="C65" s="62" t="inlineStr">
        <is>
          <t>SaaS</t>
        </is>
      </c>
      <c r="D65" s="62" t="inlineStr">
        <is>
          <t>Enterprise</t>
        </is>
      </c>
      <c r="E65" s="76" t="inlineStr">
        <is>
          <t>NHI &amp; Agentic Access</t>
        </is>
      </c>
      <c r="F65" s="73" t="inlineStr">
        <is>
          <t>Shadow AI &amp; Usage Discovery</t>
        </is>
      </c>
      <c r="G65" s="71" t="inlineStr">
        <is>
          <t>AI Posture &amp; Governance</t>
        </is>
      </c>
      <c r="H65" s="62" t="inlineStr">
        <is>
          <t>NHI Security Cloud: Agentic Access Management; intent-based access control.</t>
        </is>
      </c>
      <c r="I65" s="62" t="inlineStr">
        <is>
          <t>Agentic AI security</t>
        </is>
      </c>
      <c r="J65" s="62" t="n"/>
    </row>
    <row r="66" ht="42" customHeight="1" s="55">
      <c r="A66" s="62" t="inlineStr">
        <is>
          <t>Aembit</t>
        </is>
      </c>
      <c r="B66" s="62" t="inlineStr">
        <is>
          <t>Independent</t>
        </is>
      </c>
      <c r="C66" s="62" t="inlineStr">
        <is>
          <t>SaaS</t>
        </is>
      </c>
      <c r="D66" s="62" t="inlineStr">
        <is>
          <t>Enterprise</t>
        </is>
      </c>
      <c r="E66" s="76" t="inlineStr">
        <is>
          <t>NHI &amp; Agentic Access</t>
        </is>
      </c>
      <c r="F66" s="73" t="inlineStr">
        <is>
          <t>Shadow AI &amp; Usage Discovery</t>
        </is>
      </c>
      <c r="G66" s="75" t="inlineStr">
        <is>
          <t>Data Protection for AI</t>
        </is>
      </c>
      <c r="H66" s="62" t="inlineStr">
        <is>
          <t>Secretless workload IAM: workload-to-workload identity.</t>
        </is>
      </c>
      <c r="I66" s="62" t="inlineStr">
        <is>
          <t>Secretless architecture</t>
        </is>
      </c>
      <c r="J66" s="62" t="n"/>
    </row>
    <row r="67" ht="42" customHeight="1" s="55">
      <c r="A67" s="62" t="inlineStr">
        <is>
          <t>Entro Security</t>
        </is>
      </c>
      <c r="B67" s="62" t="inlineStr">
        <is>
          <t>Independent</t>
        </is>
      </c>
      <c r="C67" s="62" t="inlineStr">
        <is>
          <t>SaaS</t>
        </is>
      </c>
      <c r="D67" s="62" t="inlineStr">
        <is>
          <t>Enterprise</t>
        </is>
      </c>
      <c r="E67" s="76" t="inlineStr">
        <is>
          <t>NHI &amp; Agentic Access</t>
        </is>
      </c>
      <c r="F67" s="73" t="inlineStr">
        <is>
          <t>Shadow AI &amp; Usage Discovery</t>
        </is>
      </c>
      <c r="G67" s="71" t="inlineStr">
        <is>
          <t>AI Posture &amp; Governance</t>
        </is>
      </c>
      <c r="H67" s="62" t="inlineStr">
        <is>
          <t>Secrets security platform: discovers exposed secrets; reveals AI API keys.</t>
        </is>
      </c>
      <c r="I67" s="62" t="inlineStr">
        <is>
          <t>Secrets sprawl; credential exposure</t>
        </is>
      </c>
      <c r="J67" s="62" t="n"/>
    </row>
    <row r="68" ht="42" customHeight="1" s="55">
      <c r="A68" s="62" t="inlineStr">
        <is>
          <t>CyberArk</t>
        </is>
      </c>
      <c r="B68" s="62" t="inlineStr">
        <is>
          <t>Acquired (Palo Alto Networks)</t>
        </is>
      </c>
      <c r="C68" s="62" t="inlineStr">
        <is>
          <t>Both</t>
        </is>
      </c>
      <c r="D68" s="62" t="inlineStr">
        <is>
          <t>Enterprise</t>
        </is>
      </c>
      <c r="E68" s="76" t="inlineStr">
        <is>
          <t>NHI &amp; Agentic Access</t>
        </is>
      </c>
      <c r="F68" s="71" t="inlineStr">
        <is>
          <t>AI Posture &amp; Governance</t>
        </is>
      </c>
      <c r="G68" s="75" t="inlineStr">
        <is>
          <t>Data Protection for AI</t>
        </is>
      </c>
      <c r="H68" s="62" t="inlineStr">
        <is>
          <t>PAM + NHI identity security, now part of Palo Alto Networks. Palo Alto closed $25B acquisition on February 11, 2026 — the largest cybersecurity M&amp;A on record. CyberArk platform remains standalone while capabilities integrate into PAN Prisma and Cortex.</t>
        </is>
      </c>
      <c r="I68" s="62" t="inlineStr">
        <is>
          <t>Enterprise PAM; machine identities</t>
        </is>
      </c>
      <c r="J68" s="62" t="n"/>
    </row>
    <row r="69" ht="42" customHeight="1" s="55">
      <c r="A69" s="62" t="inlineStr">
        <is>
          <t>HashiCorp Vault</t>
        </is>
      </c>
      <c r="B69" s="62" t="inlineStr">
        <is>
          <t>Independent</t>
        </is>
      </c>
      <c r="C69" s="62" t="inlineStr">
        <is>
          <t>Both</t>
        </is>
      </c>
      <c r="D69" s="62" t="inlineStr">
        <is>
          <t>Free + Enterprise</t>
        </is>
      </c>
      <c r="E69" s="76" t="inlineStr">
        <is>
          <t>NHI &amp; Agentic Access</t>
        </is>
      </c>
      <c r="F69" s="75" t="inlineStr">
        <is>
          <t>Data Protection for AI</t>
        </is>
      </c>
      <c r="G69" s="62" t="n"/>
      <c r="H69" s="62" t="inlineStr">
        <is>
          <t>Secrets management leader: dynamic secrets, encryption, identity-based access.</t>
        </is>
      </c>
      <c r="I69" s="62" t="inlineStr">
        <is>
          <t>Secrets management; dynamic credentials</t>
        </is>
      </c>
      <c r="J69" s="62" t="n"/>
    </row>
    <row r="70" ht="42" customHeight="1" s="55">
      <c r="A70" s="62" t="inlineStr">
        <is>
          <t>Spec</t>
        </is>
      </c>
      <c r="B70" s="62" t="inlineStr">
        <is>
          <t>Independent</t>
        </is>
      </c>
      <c r="C70" s="62" t="inlineStr">
        <is>
          <t>SaaS</t>
        </is>
      </c>
      <c r="D70" s="62" t="inlineStr">
        <is>
          <t>Enterprise</t>
        </is>
      </c>
      <c r="E70" s="76" t="inlineStr">
        <is>
          <t>NHI &amp; Agentic Access</t>
        </is>
      </c>
      <c r="F70" s="72" t="inlineStr">
        <is>
          <t>Runtime Protection &amp; Guardrails</t>
        </is>
      </c>
      <c r="G70" s="71" t="inlineStr">
        <is>
          <t>AI Posture &amp; Governance</t>
        </is>
      </c>
      <c r="H70" s="62" t="inlineStr">
        <is>
          <t>Agentic security platform: agent identity, behavior monitoring, response.</t>
        </is>
      </c>
      <c r="I70" s="62" t="inlineStr">
        <is>
          <t>Organizations with production AI agents</t>
        </is>
      </c>
      <c r="J70" s="62" t="n"/>
    </row>
    <row r="71" ht="42" customHeight="1" s="55">
      <c r="A71" s="62" t="inlineStr">
        <is>
          <t>Sonatype</t>
        </is>
      </c>
      <c r="B71" s="62" t="inlineStr">
        <is>
          <t>Independent</t>
        </is>
      </c>
      <c r="C71" s="62" t="inlineStr">
        <is>
          <t>Both</t>
        </is>
      </c>
      <c r="D71" s="62" t="inlineStr">
        <is>
          <t>Enterprise</t>
        </is>
      </c>
      <c r="E71" s="77" t="inlineStr">
        <is>
          <t>AI Supply Chain</t>
        </is>
      </c>
      <c r="F71" s="71" t="inlineStr">
        <is>
          <t>AI Posture &amp; Governance</t>
        </is>
      </c>
      <c r="G71" s="62" t="n"/>
      <c r="H71" s="62" t="inlineStr">
        <is>
          <t>Software supply chain: SBOM, AI/ML model scanning (Hugging Face), malware detection.</t>
        </is>
      </c>
      <c r="I71" s="62" t="inlineStr">
        <is>
          <t>SBOM-driven supply chain security</t>
        </is>
      </c>
      <c r="J71" s="62" t="n"/>
    </row>
    <row r="72" ht="42" customHeight="1" s="55">
      <c r="A72" s="62" t="inlineStr">
        <is>
          <t>Chainguard</t>
        </is>
      </c>
      <c r="B72" s="62" t="inlineStr">
        <is>
          <t>Independent</t>
        </is>
      </c>
      <c r="C72" s="62" t="inlineStr">
        <is>
          <t>Both</t>
        </is>
      </c>
      <c r="D72" s="62" t="inlineStr">
        <is>
          <t>Enterprise</t>
        </is>
      </c>
      <c r="E72" s="77" t="inlineStr">
        <is>
          <t>AI Supply Chain</t>
        </is>
      </c>
      <c r="F72" s="75" t="inlineStr">
        <is>
          <t>Data Protection for AI</t>
        </is>
      </c>
      <c r="G72" s="62" t="n"/>
      <c r="H72" s="62" t="inlineStr">
        <is>
          <t>Hardened containers: SBOM generation, SLSA provenance, secure Python for ML.</t>
        </is>
      </c>
      <c r="I72" s="62" t="inlineStr">
        <is>
          <t>Secure-base-images for ML pipelines</t>
        </is>
      </c>
      <c r="J72" s="62" t="n"/>
    </row>
    <row r="73" ht="42" customHeight="1" s="55">
      <c r="A73" s="62" t="inlineStr">
        <is>
          <t>JFrog</t>
        </is>
      </c>
      <c r="B73" s="62" t="inlineStr">
        <is>
          <t>Platform</t>
        </is>
      </c>
      <c r="C73" s="62" t="inlineStr">
        <is>
          <t>Both</t>
        </is>
      </c>
      <c r="D73" s="62" t="inlineStr">
        <is>
          <t>Enterprise</t>
        </is>
      </c>
      <c r="E73" s="77" t="inlineStr">
        <is>
          <t>AI Supply Chain</t>
        </is>
      </c>
      <c r="F73" s="71" t="inlineStr">
        <is>
          <t>AI Posture &amp; Governance</t>
        </is>
      </c>
      <c r="G73" s="62" t="n"/>
      <c r="H73" s="62" t="inlineStr">
        <is>
          <t>Universal artifact repository: ML model management, SBOM, DevSecOps.</t>
        </is>
      </c>
      <c r="I73" s="62" t="inlineStr">
        <is>
          <t>JFrog customers; artifact management</t>
        </is>
      </c>
      <c r="J73" s="62" t="n"/>
    </row>
    <row r="74" ht="42" customHeight="1" s="55">
      <c r="A74" s="62" t="inlineStr">
        <is>
          <t>Snyk</t>
        </is>
      </c>
      <c r="B74" s="62" t="inlineStr">
        <is>
          <t>Independent</t>
        </is>
      </c>
      <c r="C74" s="62" t="inlineStr">
        <is>
          <t>Both</t>
        </is>
      </c>
      <c r="D74" s="62" t="inlineStr">
        <is>
          <t>Team + Enterprise</t>
        </is>
      </c>
      <c r="E74" s="77" t="inlineStr">
        <is>
          <t>AI Supply Chain</t>
        </is>
      </c>
      <c r="F74" s="72" t="inlineStr">
        <is>
          <t>Runtime Protection &amp; Guardrails</t>
        </is>
      </c>
      <c r="G74" s="71" t="inlineStr">
        <is>
          <t>AI Posture &amp; Governance</t>
        </is>
      </c>
      <c r="H74" s="62" t="inlineStr">
        <is>
          <t>AI Trust Platform: AI-BOM scanning, Evo agentic security, MCP server security.</t>
        </is>
      </c>
      <c r="I74" s="62" t="inlineStr">
        <is>
          <t>DevSecOps; AI-generated code supply chain</t>
        </is>
      </c>
      <c r="J74" s="62" t="n"/>
    </row>
    <row r="75" ht="42" customHeight="1" s="55">
      <c r="A75" s="62" t="inlineStr">
        <is>
          <t>Cycode</t>
        </is>
      </c>
      <c r="B75" s="62" t="inlineStr">
        <is>
          <t>Independent</t>
        </is>
      </c>
      <c r="C75" s="62" t="inlineStr">
        <is>
          <t>SaaS</t>
        </is>
      </c>
      <c r="D75" s="62" t="inlineStr">
        <is>
          <t>Enterprise</t>
        </is>
      </c>
      <c r="E75" s="71" t="inlineStr">
        <is>
          <t>AI Posture &amp; Governance</t>
        </is>
      </c>
      <c r="F75" s="77" t="inlineStr">
        <is>
          <t>AI Supply Chain</t>
        </is>
      </c>
      <c r="G75" s="72" t="inlineStr">
        <is>
          <t>Runtime Protection &amp; Guardrails</t>
        </is>
      </c>
      <c r="H75" s="62" t="inlineStr">
        <is>
          <t>ASPM platform: AI-native code security, pipeline security, secrets detection.</t>
        </is>
      </c>
      <c r="I75" s="62" t="inlineStr">
        <is>
          <t>ASPM-first orgs</t>
        </is>
      </c>
      <c r="J75" s="62" t="n"/>
    </row>
    <row r="76" ht="42" customHeight="1" s="55">
      <c r="A76" s="62" t="inlineStr">
        <is>
          <t>Straiker Defend AI</t>
        </is>
      </c>
      <c r="B76" s="62" t="inlineStr">
        <is>
          <t>Independent</t>
        </is>
      </c>
      <c r="C76" s="62" t="inlineStr">
        <is>
          <t>SaaS</t>
        </is>
      </c>
      <c r="D76" s="62" t="inlineStr">
        <is>
          <t>Enterprise</t>
        </is>
      </c>
      <c r="E76" s="72" t="inlineStr">
        <is>
          <t>Runtime Protection &amp; Guardrails</t>
        </is>
      </c>
      <c r="F76" s="76" t="inlineStr">
        <is>
          <t>NHI &amp; Agentic Access</t>
        </is>
      </c>
      <c r="G76" s="74" t="inlineStr">
        <is>
          <t>Observability &amp; Evaluation</t>
        </is>
      </c>
      <c r="H76" s="62" t="inlineStr">
        <is>
          <t>Agentic AI runtime security: context-aware guardrails for prompts, reasoning, tool calls.</t>
        </is>
      </c>
      <c r="I76" s="62" t="inlineStr">
        <is>
          <t>Production agentic AI</t>
        </is>
      </c>
      <c r="J76" s="62" t="n"/>
    </row>
    <row r="77" ht="42" customHeight="1" s="55">
      <c r="A77" s="62" t="inlineStr">
        <is>
          <t>Maxim AI</t>
        </is>
      </c>
      <c r="B77" s="62" t="inlineStr">
        <is>
          <t>Independent</t>
        </is>
      </c>
      <c r="C77" s="62" t="inlineStr">
        <is>
          <t>SaaS</t>
        </is>
      </c>
      <c r="D77" s="62" t="inlineStr">
        <is>
          <t>Enterprise</t>
        </is>
      </c>
      <c r="E77" s="74" t="inlineStr">
        <is>
          <t>Observability &amp; Evaluation</t>
        </is>
      </c>
      <c r="F77" s="71" t="inlineStr">
        <is>
          <t>AI Posture &amp; Governance</t>
        </is>
      </c>
      <c r="G77" s="72" t="inlineStr">
        <is>
          <t>Runtime Protection &amp; Guardrails</t>
        </is>
      </c>
      <c r="H77" s="62" t="inlineStr">
        <is>
          <t>End-to-end AI agent lifecycle: experimentation, simulation, evaluation, observability.</t>
        </is>
      </c>
      <c r="I77" s="62" t="inlineStr">
        <is>
          <t>Agent development teams</t>
        </is>
      </c>
      <c r="J77" s="62" t="n"/>
    </row>
    <row r="78" ht="42" customHeight="1" s="55">
      <c r="A78" s="62" t="inlineStr">
        <is>
          <t>Braintrust</t>
        </is>
      </c>
      <c r="B78" s="62" t="inlineStr">
        <is>
          <t>Independent</t>
        </is>
      </c>
      <c r="C78" s="62" t="inlineStr">
        <is>
          <t>SaaS</t>
        </is>
      </c>
      <c r="D78" s="62" t="inlineStr">
        <is>
          <t>Team + Enterprise</t>
        </is>
      </c>
      <c r="E78" s="74" t="inlineStr">
        <is>
          <t>Observability &amp; Evaluation</t>
        </is>
      </c>
      <c r="F78" s="71" t="inlineStr">
        <is>
          <t>AI Posture &amp; Governance</t>
        </is>
      </c>
      <c r="G78" s="62" t="n"/>
      <c r="H78" s="62" t="inlineStr">
        <is>
          <t>End-to-end LLM platform: production traces to eval cases; results on PRs.</t>
        </is>
      </c>
      <c r="I78" s="62" t="inlineStr">
        <is>
          <t>LLM app teams; iterative improvement</t>
        </is>
      </c>
      <c r="J78" s="62" t="n"/>
    </row>
    <row r="79" ht="42" customHeight="1" s="55">
      <c r="A79" s="62" t="inlineStr">
        <is>
          <t>LangFuse</t>
        </is>
      </c>
      <c r="B79" s="62" t="inlineStr">
        <is>
          <t>Independent</t>
        </is>
      </c>
      <c r="C79" s="62" t="inlineStr">
        <is>
          <t>Both</t>
        </is>
      </c>
      <c r="D79" s="62" t="inlineStr">
        <is>
          <t>Free + Team</t>
        </is>
      </c>
      <c r="E79" s="74" t="inlineStr">
        <is>
          <t>Observability &amp; Evaluation</t>
        </is>
      </c>
      <c r="F79" s="71" t="inlineStr">
        <is>
          <t>AI Posture &amp; Governance</t>
        </is>
      </c>
      <c r="G79" s="62" t="n"/>
      <c r="H79" s="62" t="inlineStr">
        <is>
          <t>Open-source LLM observability: tracing, prompt mgmt, evaluation.</t>
        </is>
      </c>
      <c r="I79" s="62" t="inlineStr">
        <is>
          <t>OSS-first teams</t>
        </is>
      </c>
      <c r="J79" s="62" t="n"/>
    </row>
    <row r="80" ht="42" customHeight="1" s="55">
      <c r="A80" s="62" t="inlineStr">
        <is>
          <t>Comet Opik</t>
        </is>
      </c>
      <c r="B80" s="62" t="inlineStr">
        <is>
          <t>Independent</t>
        </is>
      </c>
      <c r="C80" s="62" t="inlineStr">
        <is>
          <t>Both</t>
        </is>
      </c>
      <c r="D80" s="62" t="inlineStr">
        <is>
          <t>Free + Team</t>
        </is>
      </c>
      <c r="E80" s="74" t="inlineStr">
        <is>
          <t>Observability &amp; Evaluation</t>
        </is>
      </c>
      <c r="F80" s="72" t="inlineStr">
        <is>
          <t>Runtime Protection &amp; Guardrails</t>
        </is>
      </c>
      <c r="G80" s="62" t="n"/>
      <c r="H80" s="62" t="inlineStr">
        <is>
          <t>LLM evaluation and monitoring: model quality, performance drift.</t>
        </is>
      </c>
      <c r="I80" s="62" t="inlineStr">
        <is>
          <t>ML teams; quality assurance</t>
        </is>
      </c>
      <c r="J80" s="62" t="n"/>
    </row>
    <row r="81" ht="42" customHeight="1" s="55">
      <c r="A81" s="62" t="inlineStr">
        <is>
          <t>Spectra Assure</t>
        </is>
      </c>
      <c r="B81" s="62" t="inlineStr">
        <is>
          <t>Independent</t>
        </is>
      </c>
      <c r="C81" s="62" t="inlineStr">
        <is>
          <t>SaaS</t>
        </is>
      </c>
      <c r="D81" s="62" t="inlineStr">
        <is>
          <t>Enterprise</t>
        </is>
      </c>
      <c r="E81" s="77" t="inlineStr">
        <is>
          <t>AI Supply Chain</t>
        </is>
      </c>
      <c r="F81" s="71" t="inlineStr">
        <is>
          <t>AI Posture &amp; Governance</t>
        </is>
      </c>
      <c r="G81" s="72" t="inlineStr">
        <is>
          <t>Runtime Protection &amp; Guardrails</t>
        </is>
      </c>
      <c r="H81" s="62" t="inlineStr">
        <is>
          <t>Supply chain security: SAFE reports for AI / ML artifacts; CycloneDX export.</t>
        </is>
      </c>
      <c r="I81" s="62" t="inlineStr">
        <is>
          <t>Regulated industries; AI supply chain compliance</t>
        </is>
      </c>
      <c r="J81" s="62" t="n"/>
    </row>
    <row r="82" ht="42" customHeight="1" s="55">
      <c r="A82" s="62" t="inlineStr">
        <is>
          <t>OpenSSF Model Signing</t>
        </is>
      </c>
      <c r="B82" s="62" t="inlineStr">
        <is>
          <t>Open Standard</t>
        </is>
      </c>
      <c r="C82" s="62" t="inlineStr">
        <is>
          <t>OSS</t>
        </is>
      </c>
      <c r="D82" s="62" t="inlineStr">
        <is>
          <t>Free / OSS</t>
        </is>
      </c>
      <c r="E82" s="77" t="inlineStr">
        <is>
          <t>AI Supply Chain</t>
        </is>
      </c>
      <c r="F82" s="62" t="n"/>
      <c r="G82" s="62" t="n"/>
      <c r="H82" s="62" t="inlineStr">
        <is>
          <t>Open Source Security Foundation: model signing for AI provenance.</t>
        </is>
      </c>
      <c r="I82" s="62" t="inlineStr">
        <is>
          <t>OSS model consumers; provenance verification</t>
        </is>
      </c>
      <c r="J82" s="62" t="n"/>
    </row>
    <row r="83" ht="42" customHeight="1" s="55">
      <c r="A83" s="62" t="inlineStr">
        <is>
          <t>Radiant Security</t>
        </is>
      </c>
      <c r="B83" s="62" t="inlineStr">
        <is>
          <t>Independent</t>
        </is>
      </c>
      <c r="C83" s="62" t="inlineStr">
        <is>
          <t>SaaS</t>
        </is>
      </c>
      <c r="D83" s="62" t="inlineStr">
        <is>
          <t>Enterprise</t>
        </is>
      </c>
      <c r="E83" s="74" t="inlineStr">
        <is>
          <t>Observability &amp; Evaluation</t>
        </is>
      </c>
      <c r="F83" s="71" t="inlineStr">
        <is>
          <t>AI Posture &amp; Governance</t>
        </is>
      </c>
      <c r="G83" s="72" t="inlineStr">
        <is>
          <t>Runtime Protection &amp; Guardrails</t>
        </is>
      </c>
      <c r="H83" s="62" t="inlineStr">
        <is>
          <t>Agentic AI SOC platform: 100% alert coverage, 90% FP reduction.</t>
        </is>
      </c>
      <c r="I83" s="62" t="inlineStr">
        <is>
          <t>SOC teams; alert fatigue reduction</t>
        </is>
      </c>
      <c r="J83" s="62" t="n"/>
    </row>
    <row r="84" ht="42" customHeight="1" s="55">
      <c r="A84" s="62" t="inlineStr">
        <is>
          <t>Strata Identity</t>
        </is>
      </c>
      <c r="B84" s="62" t="inlineStr">
        <is>
          <t>Independent</t>
        </is>
      </c>
      <c r="C84" s="62" t="inlineStr">
        <is>
          <t>SaaS</t>
        </is>
      </c>
      <c r="D84" s="62" t="inlineStr">
        <is>
          <t>Enterprise</t>
        </is>
      </c>
      <c r="E84" s="76" t="inlineStr">
        <is>
          <t>NHI &amp; Agentic Access</t>
        </is>
      </c>
      <c r="F84" s="71" t="inlineStr">
        <is>
          <t>AI Posture &amp; Governance</t>
        </is>
      </c>
      <c r="G84" s="62" t="n"/>
      <c r="H84" s="62" t="inlineStr">
        <is>
          <t>Agentic identity management: dynamic NHI governance; policy-based agent permissions.</t>
        </is>
      </c>
      <c r="I84" s="62" t="inlineStr">
        <is>
          <t>Agentic AI identity</t>
        </is>
      </c>
      <c r="J84" s="62" t="n"/>
    </row>
    <row r="85" ht="42" customHeight="1" s="55">
      <c r="A85" s="62" t="inlineStr">
        <is>
          <t>NVIDIA NeMo Guardrails</t>
        </is>
      </c>
      <c r="B85" s="62" t="inlineStr">
        <is>
          <t>Platform</t>
        </is>
      </c>
      <c r="C85" s="62" t="inlineStr">
        <is>
          <t>Both</t>
        </is>
      </c>
      <c r="D85" s="62" t="inlineStr">
        <is>
          <t>Free + Enterprise</t>
        </is>
      </c>
      <c r="E85" s="72" t="inlineStr">
        <is>
          <t>Runtime Protection &amp; Guardrails</t>
        </is>
      </c>
      <c r="F85" s="74" t="inlineStr">
        <is>
          <t>Observability &amp; Evaluation</t>
        </is>
      </c>
      <c r="G85" s="62" t="n"/>
      <c r="H85" s="62" t="inlineStr">
        <is>
          <t>Inference microservices: programmable guardrails for LLMs.</t>
        </is>
      </c>
      <c r="I85" s="62" t="inlineStr">
        <is>
          <t>NVIDIA ecosystem</t>
        </is>
      </c>
      <c r="J85" s="62" t="n"/>
    </row>
    <row r="86" ht="42" customHeight="1" s="55">
      <c r="A86" s="62" t="inlineStr">
        <is>
          <t>Holistic AI</t>
        </is>
      </c>
      <c r="B86" s="62" t="inlineStr">
        <is>
          <t>Independent</t>
        </is>
      </c>
      <c r="C86" s="62" t="inlineStr">
        <is>
          <t>SaaS</t>
        </is>
      </c>
      <c r="D86" s="62" t="inlineStr">
        <is>
          <t>Enterprise</t>
        </is>
      </c>
      <c r="E86" s="71" t="inlineStr">
        <is>
          <t>AI Posture &amp; Governance</t>
        </is>
      </c>
      <c r="F86" s="74" t="inlineStr">
        <is>
          <t>Observability &amp; Evaluation</t>
        </is>
      </c>
      <c r="G86" s="62" t="n"/>
      <c r="H86" s="62" t="inlineStr">
        <is>
          <t>End-to-end AI risk management: live inventory, EU AI Act alignment, bias auditing.</t>
        </is>
      </c>
      <c r="I86" s="62" t="inlineStr">
        <is>
          <t>EU AI Act compliance</t>
        </is>
      </c>
      <c r="J86" s="62" t="n"/>
    </row>
    <row r="87" ht="42" customHeight="1" s="55">
      <c r="A87" s="62" t="inlineStr">
        <is>
          <t>Prophet Security</t>
        </is>
      </c>
      <c r="B87" s="62" t="inlineStr">
        <is>
          <t>Independent</t>
        </is>
      </c>
      <c r="C87" s="62" t="inlineStr">
        <is>
          <t>SaaS</t>
        </is>
      </c>
      <c r="D87" s="62" t="inlineStr">
        <is>
          <t>Enterprise</t>
        </is>
      </c>
      <c r="E87" s="74" t="inlineStr">
        <is>
          <t>Observability &amp; Evaluation</t>
        </is>
      </c>
      <c r="F87" s="71" t="inlineStr">
        <is>
          <t>AI Posture &amp; Governance</t>
        </is>
      </c>
      <c r="G87" s="62" t="n"/>
      <c r="H87" s="62" t="inlineStr">
        <is>
          <t>Agentic SOC: autonomous investigation; AI-driven threat response.</t>
        </is>
      </c>
      <c r="I87" s="62" t="inlineStr">
        <is>
          <t>SOC teams; autonomous investigation</t>
        </is>
      </c>
      <c r="J87" s="62" t="n"/>
    </row>
    <row r="88" ht="42" customHeight="1" s="55">
      <c r="A88" s="62" t="inlineStr">
        <is>
          <t>Hex Security</t>
        </is>
      </c>
      <c r="B88" s="62" t="inlineStr">
        <is>
          <t>Independent</t>
        </is>
      </c>
      <c r="C88" s="62" t="inlineStr">
        <is>
          <t>SaaS</t>
        </is>
      </c>
      <c r="D88" s="62" t="inlineStr">
        <is>
          <t>Enterprise</t>
        </is>
      </c>
      <c r="E88" s="72" t="inlineStr">
        <is>
          <t>Runtime Protection &amp; Guardrails</t>
        </is>
      </c>
      <c r="F88" s="71" t="inlineStr">
        <is>
          <t>AI Posture &amp; Governance</t>
        </is>
      </c>
      <c r="G88" s="62" t="n"/>
      <c r="H88" s="62" t="inlineStr">
        <is>
          <t>AI agents running continuous pen tests; 24/7 vuln discovery.</t>
        </is>
      </c>
      <c r="I88" s="62" t="inlineStr">
        <is>
          <t>Continuous security testing</t>
        </is>
      </c>
      <c r="J88" s="62" t="n"/>
    </row>
    <row r="89" ht="42" customHeight="1" s="55">
      <c r="A89" s="62" t="inlineStr">
        <is>
          <t>Tumeryk</t>
        </is>
      </c>
      <c r="B89" s="62" t="inlineStr">
        <is>
          <t>Independent</t>
        </is>
      </c>
      <c r="C89" s="62" t="inlineStr">
        <is>
          <t>SaaS</t>
        </is>
      </c>
      <c r="D89" s="62" t="inlineStr">
        <is>
          <t>Enterprise</t>
        </is>
      </c>
      <c r="E89" s="72" t="inlineStr">
        <is>
          <t>Runtime Protection &amp; Guardrails</t>
        </is>
      </c>
      <c r="F89" s="76" t="inlineStr">
        <is>
          <t>NHI &amp; Agentic Access</t>
        </is>
      </c>
      <c r="G89" s="74" t="inlineStr">
        <is>
          <t>Observability &amp; Evaluation</t>
        </is>
      </c>
      <c r="H89" s="62" t="inlineStr">
        <is>
          <t>Agentic AI security: runtime guardrails plus agent-specific behavior monitoring; early-stage but purpose-built for agents</t>
        </is>
      </c>
      <c r="I89" s="62" t="inlineStr">
        <is>
          <t>Organizations deploying production AI agents</t>
        </is>
      </c>
      <c r="J89" s="62" t="n"/>
    </row>
    <row r="90" ht="42" customHeight="1" s="55">
      <c r="A90" s="62" t="inlineStr">
        <is>
          <t>Guardrails AI</t>
        </is>
      </c>
      <c r="B90" s="62" t="inlineStr">
        <is>
          <t>Independent</t>
        </is>
      </c>
      <c r="C90" s="62" t="inlineStr">
        <is>
          <t>OSS</t>
        </is>
      </c>
      <c r="D90" s="62" t="inlineStr">
        <is>
          <t>Free / OSS</t>
        </is>
      </c>
      <c r="E90" s="72" t="inlineStr">
        <is>
          <t>Runtime Protection &amp; Guardrails</t>
        </is>
      </c>
      <c r="F90" s="74" t="inlineStr">
        <is>
          <t>Observability &amp; Evaluation</t>
        </is>
      </c>
      <c r="G90" s="62" t="inlineStr">
        <is>
          <t>—</t>
        </is>
      </c>
      <c r="H90" s="62" t="inlineStr">
        <is>
          <t>Open-source guardrails framework: validators for prompt injection, PII, toxicity, structured outputs; Python-first</t>
        </is>
      </c>
      <c r="I90" s="62" t="inlineStr">
        <is>
          <t>Dev teams building LLM apps with OSS controls</t>
        </is>
      </c>
      <c r="J90" s="62" t="n"/>
    </row>
    <row r="91" ht="42" customHeight="1" s="55">
      <c r="A91" s="62" t="inlineStr">
        <is>
          <t>GitGuardian</t>
        </is>
      </c>
      <c r="B91" s="62" t="inlineStr">
        <is>
          <t>Independent</t>
        </is>
      </c>
      <c r="C91" s="62" t="inlineStr">
        <is>
          <t>SaaS</t>
        </is>
      </c>
      <c r="D91" s="62" t="inlineStr">
        <is>
          <t>Team + Enterprise</t>
        </is>
      </c>
      <c r="E91" s="75" t="inlineStr">
        <is>
          <t>Data Protection for AI</t>
        </is>
      </c>
      <c r="F91" s="77" t="inlineStr">
        <is>
          <t>AI Supply Chain</t>
        </is>
      </c>
      <c r="G91" s="76" t="inlineStr">
        <is>
          <t>NHI &amp; Agentic Access</t>
        </is>
      </c>
      <c r="H91" s="62" t="inlineStr">
        <is>
          <t>Secrets detection extended to LLM context: catches secrets in prompts, agent memory, and RAG corpora</t>
        </is>
      </c>
      <c r="I91" s="62" t="inlineStr">
        <is>
          <t>Teams worried about secrets leaking into LLM context windows</t>
        </is>
      </c>
      <c r="J91" s="62" t="n"/>
    </row>
    <row r="92" ht="42" customHeight="1" s="55">
      <c r="A92" s="62" t="inlineStr">
        <is>
          <t>Endor Labs</t>
        </is>
      </c>
      <c r="B92" s="62" t="inlineStr">
        <is>
          <t>Independent</t>
        </is>
      </c>
      <c r="C92" s="62" t="inlineStr">
        <is>
          <t>SaaS</t>
        </is>
      </c>
      <c r="D92" s="62" t="inlineStr">
        <is>
          <t>Enterprise</t>
        </is>
      </c>
      <c r="E92" s="77" t="inlineStr">
        <is>
          <t>AI Supply Chain</t>
        </is>
      </c>
      <c r="F92" s="71" t="inlineStr">
        <is>
          <t>AI Posture &amp; Governance</t>
        </is>
      </c>
      <c r="G92" s="62" t="inlineStr">
        <is>
          <t>—</t>
        </is>
      </c>
      <c r="H92" s="62" t="inlineStr">
        <is>
          <t>AI-BOM and ML supply-chain risk analysis; integrates with SCA tooling; model dependency graph</t>
        </is>
      </c>
      <c r="I92" s="62" t="inlineStr">
        <is>
          <t>DevSecOps teams adding AI to existing SCA workflows</t>
        </is>
      </c>
      <c r="J92" s="62" t="n"/>
    </row>
    <row r="93" ht="42" customHeight="1" s="55">
      <c r="A93" s="62" t="inlineStr">
        <is>
          <t>Normalyze</t>
        </is>
      </c>
      <c r="B93" s="62" t="inlineStr">
        <is>
          <t>Independent</t>
        </is>
      </c>
      <c r="C93" s="62" t="inlineStr">
        <is>
          <t>SaaS</t>
        </is>
      </c>
      <c r="D93" s="62" t="inlineStr">
        <is>
          <t>Enterprise</t>
        </is>
      </c>
      <c r="E93" s="75" t="inlineStr">
        <is>
          <t>Data Protection for AI</t>
        </is>
      </c>
      <c r="F93" s="71" t="inlineStr">
        <is>
          <t>AI Posture &amp; Governance</t>
        </is>
      </c>
      <c r="G93" s="73" t="inlineStr">
        <is>
          <t>Shadow AI &amp; Usage Discovery</t>
        </is>
      </c>
      <c r="H93" s="62" t="inlineStr">
        <is>
          <t>DSPM extending to AI: discovers sensitive data flowing into AI tools and RAG; integrates with GenAI posture</t>
        </is>
      </c>
      <c r="I93" s="62" t="inlineStr">
        <is>
          <t>DSPM-first orgs extending coverage to AI</t>
        </is>
      </c>
      <c r="J93" s="62" t="n"/>
    </row>
    <row r="94" ht="42" customHeight="1" s="55">
      <c r="A94" s="62" t="inlineStr">
        <is>
          <t>Sysdig</t>
        </is>
      </c>
      <c r="B94" s="62" t="inlineStr">
        <is>
          <t>Platform</t>
        </is>
      </c>
      <c r="C94" s="62" t="inlineStr">
        <is>
          <t>SaaS</t>
        </is>
      </c>
      <c r="D94" s="62" t="inlineStr">
        <is>
          <t>Enterprise</t>
        </is>
      </c>
      <c r="E94" s="74" t="inlineStr">
        <is>
          <t>Observability &amp; Evaluation</t>
        </is>
      </c>
      <c r="F94" s="72" t="inlineStr">
        <is>
          <t>Runtime Protection &amp; Guardrails</t>
        </is>
      </c>
      <c r="G94" s="71" t="inlineStr">
        <is>
          <t>AI Posture &amp; Governance</t>
        </is>
      </c>
      <c r="H94" s="62" t="inlineStr">
        <is>
          <t>Runtime observability for AI workloads: container-level visibility into model-serving infra and agent runtimes</t>
        </is>
      </c>
      <c r="I94" s="62" t="inlineStr">
        <is>
          <t>Kubernetes shops; runtime observability for AI infra</t>
        </is>
      </c>
      <c r="J94" s="62" t="n"/>
    </row>
    <row r="95" ht="42" customHeight="1" s="55">
      <c r="A95" s="62" t="inlineStr">
        <is>
          <t>Wiz Code</t>
        </is>
      </c>
      <c r="B95" s="62" t="inlineStr">
        <is>
          <t>Acquired (Google)</t>
        </is>
      </c>
      <c r="C95" s="62" t="inlineStr">
        <is>
          <t>SaaS</t>
        </is>
      </c>
      <c r="D95" s="62" t="inlineStr">
        <is>
          <t>Enterprise</t>
        </is>
      </c>
      <c r="E95" s="77" t="inlineStr">
        <is>
          <t>AI Supply Chain</t>
        </is>
      </c>
      <c r="F95" s="71" t="inlineStr">
        <is>
          <t>AI Posture &amp; Governance</t>
        </is>
      </c>
      <c r="G95" s="72" t="inlineStr">
        <is>
          <t>Runtime Protection &amp; Guardrails</t>
        </is>
      </c>
      <c r="H95" s="62" t="inlineStr">
        <is>
          <t>CNAPP-native AI-SPM: agentless discovery, risk prioritization, attack path analysis. Google completed $32B acquisition on March 11, 2026 — largest-ever cybersecurity M&amp;A at the time. Wiz continues multicloud support (AWS, Azure, Oracle, GCP) post-acquisition.</t>
        </is>
      </c>
      <c r="I95" s="62" t="inlineStr">
        <is>
          <t>Wiz customers extending to code-side AI risk</t>
        </is>
      </c>
      <c r="J95" s="62" t="n"/>
    </row>
    <row r="96" ht="42" customHeight="1" s="55">
      <c r="A96" s="62" t="inlineStr">
        <is>
          <t>AWS Bedrock AgentCore</t>
        </is>
      </c>
      <c r="B96" s="62" t="inlineStr">
        <is>
          <t>Platform</t>
        </is>
      </c>
      <c r="C96" s="62" t="inlineStr">
        <is>
          <t>Platform</t>
        </is>
      </c>
      <c r="D96" s="62" t="inlineStr">
        <is>
          <t>Included in platform</t>
        </is>
      </c>
      <c r="E96" s="76" t="inlineStr">
        <is>
          <t>NHI &amp; Agentic Access</t>
        </is>
      </c>
      <c r="F96" s="72" t="inlineStr">
        <is>
          <t>Runtime Protection &amp; Guardrails</t>
        </is>
      </c>
      <c r="G96" s="74" t="inlineStr">
        <is>
          <t>Observability &amp; Evaluation</t>
        </is>
      </c>
      <c r="H96" s="62" t="inlineStr">
        <is>
          <t>AWS-managed agent runtime with built-in identity, tool auth, memory isolation, and observability; launched 2025</t>
        </is>
      </c>
      <c r="I96" s="62" t="inlineStr">
        <is>
          <t>AWS-native agent deployments</t>
        </is>
      </c>
      <c r="J96" s="62" t="n"/>
    </row>
    <row r="97" ht="42" customHeight="1" s="55">
      <c r="A97" s="62" t="inlineStr">
        <is>
          <t>Anthropic Built-in Safety</t>
        </is>
      </c>
      <c r="B97" s="62" t="inlineStr">
        <is>
          <t>Platform</t>
        </is>
      </c>
      <c r="C97" s="62" t="inlineStr">
        <is>
          <t>Platform</t>
        </is>
      </c>
      <c r="D97" s="62" t="inlineStr">
        <is>
          <t>Included in platform</t>
        </is>
      </c>
      <c r="E97" s="72" t="inlineStr">
        <is>
          <t>Runtime Protection &amp; Guardrails</t>
        </is>
      </c>
      <c r="F97" s="62" t="inlineStr">
        <is>
          <t>—</t>
        </is>
      </c>
      <c r="G97" s="62" t="inlineStr">
        <is>
          <t>—</t>
        </is>
      </c>
      <c r="H97" s="62" t="inlineStr">
        <is>
          <t>Provider-side guardrails included in Claude API / Claude.ai: constitutional AI, content safety, agent skill sandboxing</t>
        </is>
      </c>
      <c r="I97" s="62" t="inlineStr">
        <is>
          <t>Teams using Claude as their primary model</t>
        </is>
      </c>
      <c r="J97" s="62" t="n"/>
    </row>
    <row r="98" ht="42" customHeight="1" s="55">
      <c r="A98" s="62" t="inlineStr">
        <is>
          <t>OpenAI Moderation API</t>
        </is>
      </c>
      <c r="B98" s="62" t="inlineStr">
        <is>
          <t>Platform</t>
        </is>
      </c>
      <c r="C98" s="62" t="inlineStr">
        <is>
          <t>Platform</t>
        </is>
      </c>
      <c r="D98" s="62" t="inlineStr">
        <is>
          <t>Free / OSS</t>
        </is>
      </c>
      <c r="E98" s="72" t="inlineStr">
        <is>
          <t>Runtime Protection &amp; Guardrails</t>
        </is>
      </c>
      <c r="F98" s="75" t="inlineStr">
        <is>
          <t>Data Protection for AI</t>
        </is>
      </c>
      <c r="G98" s="62" t="inlineStr">
        <is>
          <t>—</t>
        </is>
      </c>
      <c r="H98" s="62" t="inlineStr">
        <is>
          <t>Hosted content moderation (free); usable with any model, not just OpenAI</t>
        </is>
      </c>
      <c r="I98" s="62" t="inlineStr">
        <is>
          <t>Teams wanting free content moderation as a layer</t>
        </is>
      </c>
      <c r="J98" s="62" t="n"/>
    </row>
    <row r="99" ht="42" customHeight="1" s="55">
      <c r="A99" s="62" t="inlineStr">
        <is>
          <t>Azure AI Content Safety</t>
        </is>
      </c>
      <c r="B99" s="62" t="inlineStr">
        <is>
          <t>Platform</t>
        </is>
      </c>
      <c r="C99" s="62" t="inlineStr">
        <is>
          <t>Platform</t>
        </is>
      </c>
      <c r="D99" s="62" t="inlineStr">
        <is>
          <t>Included in platform</t>
        </is>
      </c>
      <c r="E99" s="72" t="inlineStr">
        <is>
          <t>Runtime Protection &amp; Guardrails</t>
        </is>
      </c>
      <c r="F99" s="75" t="inlineStr">
        <is>
          <t>Data Protection for AI</t>
        </is>
      </c>
      <c r="G99" s="71" t="inlineStr">
        <is>
          <t>AI Posture &amp; Governance</t>
        </is>
      </c>
      <c r="H99" s="62" t="inlineStr">
        <is>
          <t>Microsoft-hosted content safety with Prompt Shields, groundedness, protected material detection</t>
        </is>
      </c>
      <c r="I99" s="62" t="inlineStr">
        <is>
          <t>Azure / Copilot ecosystem</t>
        </is>
      </c>
      <c r="J99" s="62" t="n"/>
    </row>
    <row r="100" ht="42" customHeight="1" s="55">
      <c r="A100" s="62" t="inlineStr">
        <is>
          <t>Google Cloud AI Responsible AI</t>
        </is>
      </c>
      <c r="B100" s="62" t="inlineStr">
        <is>
          <t>Platform</t>
        </is>
      </c>
      <c r="C100" s="62" t="inlineStr">
        <is>
          <t>Platform</t>
        </is>
      </c>
      <c r="D100" s="62" t="inlineStr">
        <is>
          <t>Included in platform</t>
        </is>
      </c>
      <c r="E100" s="72" t="inlineStr">
        <is>
          <t>Runtime Protection &amp; Guardrails</t>
        </is>
      </c>
      <c r="F100" s="74" t="inlineStr">
        <is>
          <t>Observability &amp; Evaluation</t>
        </is>
      </c>
      <c r="G100" s="75" t="inlineStr">
        <is>
          <t>Data Protection for AI</t>
        </is>
      </c>
      <c r="H100" s="62" t="inlineStr">
        <is>
          <t>GCP-hosted safety attributes, Model Armor, Vertex AI responsible-AI tooling</t>
        </is>
      </c>
      <c r="I100" s="62" t="inlineStr">
        <is>
          <t>GCP / Vertex AI customers</t>
        </is>
      </c>
      <c r="J100" s="62" t="n"/>
    </row>
    <row r="101" ht="42" customHeight="1" s="55">
      <c r="A101" s="62" t="inlineStr">
        <is>
          <t>Palo Alto Prisma AIRS</t>
        </is>
      </c>
      <c r="B101" s="62" t="inlineStr">
        <is>
          <t>Platform</t>
        </is>
      </c>
      <c r="C101" s="62" t="inlineStr">
        <is>
          <t>Platform</t>
        </is>
      </c>
      <c r="D101" s="62" t="inlineStr">
        <is>
          <t>Enterprise</t>
        </is>
      </c>
      <c r="E101" s="72" t="inlineStr">
        <is>
          <t>Runtime Protection &amp; Guardrails</t>
        </is>
      </c>
      <c r="F101" s="73" t="inlineStr">
        <is>
          <t>Shadow AI &amp; Usage Discovery</t>
        </is>
      </c>
      <c r="G101" s="75" t="inlineStr">
        <is>
          <t>Data Protection for AI</t>
        </is>
      </c>
      <c r="H101" s="62" t="inlineStr">
        <is>
          <t>AI Runtime Security: AI-app-layer controls integrated into Prisma Access; launched 2025</t>
        </is>
      </c>
      <c r="I101" s="62" t="inlineStr">
        <is>
          <t>Palo Alto customers extending SASE to AI</t>
        </is>
      </c>
      <c r="J101" s="62" t="n"/>
    </row>
    <row r="102" ht="42" customHeight="1" s="55">
      <c r="A102" s="62" t="inlineStr">
        <is>
          <t>Apex Security</t>
        </is>
      </c>
      <c r="B102" s="62" t="inlineStr">
        <is>
          <t>Independent</t>
        </is>
      </c>
      <c r="C102" s="62" t="inlineStr">
        <is>
          <t>SaaS</t>
        </is>
      </c>
      <c r="D102" s="62" t="inlineStr">
        <is>
          <t>Enterprise</t>
        </is>
      </c>
      <c r="E102" s="73" t="inlineStr">
        <is>
          <t>Shadow AI &amp; Usage Discovery</t>
        </is>
      </c>
      <c r="F102" s="75" t="inlineStr">
        <is>
          <t>Data Protection for AI</t>
        </is>
      </c>
      <c r="G102" s="71" t="inlineStr">
        <is>
          <t>AI Posture &amp; Governance</t>
        </is>
      </c>
      <c r="H102" s="62" t="inlineStr">
        <is>
          <t>GenAI security platform: discovery, policy enforcement, risk scoring per AI app</t>
        </is>
      </c>
      <c r="I102" s="62" t="inlineStr">
        <is>
          <t>Mid-market Shadow AI + DLP consolidation</t>
        </is>
      </c>
      <c r="J102" s="62" t="n"/>
    </row>
    <row r="103" ht="42" customHeight="1" s="55">
      <c r="A103" s="62" t="inlineStr">
        <is>
          <t>Dynamo AI</t>
        </is>
      </c>
      <c r="B103" s="62" t="inlineStr">
        <is>
          <t>Independent</t>
        </is>
      </c>
      <c r="C103" s="62" t="inlineStr">
        <is>
          <t>Both</t>
        </is>
      </c>
      <c r="D103" s="62" t="inlineStr">
        <is>
          <t>Enterprise</t>
        </is>
      </c>
      <c r="E103" s="72" t="inlineStr">
        <is>
          <t>Runtime Protection &amp; Guardrails</t>
        </is>
      </c>
      <c r="F103" s="75" t="inlineStr">
        <is>
          <t>Data Protection for AI</t>
        </is>
      </c>
      <c r="G103" s="74" t="inlineStr">
        <is>
          <t>Observability &amp; Evaluation</t>
        </is>
      </c>
      <c r="H103" s="62" t="inlineStr">
        <is>
          <t>Compliance-focused GenAI: PII redaction, policy enforcement, regulated-industry compliance tooling</t>
        </is>
      </c>
      <c r="I103" s="62" t="inlineStr">
        <is>
          <t>Regulated industries (finance, healthcare)</t>
        </is>
      </c>
      <c r="J103" s="62" t="n"/>
    </row>
    <row r="104" ht="42" customHeight="1" s="55">
      <c r="A104" s="62" t="inlineStr">
        <is>
          <t>Pillar Security</t>
        </is>
      </c>
      <c r="B104" s="62" t="inlineStr">
        <is>
          <t>Independent</t>
        </is>
      </c>
      <c r="C104" s="62" t="inlineStr">
        <is>
          <t>SaaS</t>
        </is>
      </c>
      <c r="D104" s="62" t="inlineStr">
        <is>
          <t>Enterprise</t>
        </is>
      </c>
      <c r="E104" s="71" t="inlineStr">
        <is>
          <t>AI Posture &amp; Governance</t>
        </is>
      </c>
      <c r="F104" s="72" t="inlineStr">
        <is>
          <t>Runtime Protection &amp; Guardrails</t>
        </is>
      </c>
      <c r="G104" s="74" t="inlineStr">
        <is>
          <t>Observability &amp; Evaluation</t>
        </is>
      </c>
      <c r="H104" s="62" t="inlineStr">
        <is>
          <t>End-to-end GenAI security: discovery, risk assessment, runtime protection, eval</t>
        </is>
      </c>
      <c r="I104" s="62" t="inlineStr">
        <is>
          <t>Orgs wanting consolidated GenAI security vendor</t>
        </is>
      </c>
      <c r="J104" s="62" t="n"/>
    </row>
    <row r="105" ht="42" customHeight="1" s="55">
      <c r="A105" s="62" t="inlineStr">
        <is>
          <t>Simbian</t>
        </is>
      </c>
      <c r="B105" s="62" t="inlineStr">
        <is>
          <t>Independent</t>
        </is>
      </c>
      <c r="C105" s="62" t="inlineStr">
        <is>
          <t>SaaS</t>
        </is>
      </c>
      <c r="D105" s="62" t="inlineStr">
        <is>
          <t>Enterprise</t>
        </is>
      </c>
      <c r="E105" s="74" t="inlineStr">
        <is>
          <t>Observability &amp; Evaluation</t>
        </is>
      </c>
      <c r="F105" s="72" t="inlineStr">
        <is>
          <t>Runtime Protection &amp; Guardrails</t>
        </is>
      </c>
      <c r="G105" s="71" t="inlineStr">
        <is>
          <t>AI Posture &amp; Governance</t>
        </is>
      </c>
      <c r="H105" s="62" t="inlineStr">
        <is>
          <t>Autonomous AI agents for security operations; autonomous investigation and response</t>
        </is>
      </c>
      <c r="I105" s="62" t="inlineStr">
        <is>
          <t>SOC teams; autonomous investigation</t>
        </is>
      </c>
      <c r="J105" s="62" t="n"/>
    </row>
    <row r="106" ht="42" customHeight="1" s="55">
      <c r="A106" s="62" t="inlineStr">
        <is>
          <t>Sigstore / Model Transparency</t>
        </is>
      </c>
      <c r="B106" s="62" t="inlineStr">
        <is>
          <t>Open Standard</t>
        </is>
      </c>
      <c r="C106" s="62" t="inlineStr">
        <is>
          <t>OSS</t>
        </is>
      </c>
      <c r="D106" s="62" t="inlineStr">
        <is>
          <t>Free / OSS</t>
        </is>
      </c>
      <c r="E106" s="77" t="inlineStr">
        <is>
          <t>AI Supply Chain</t>
        </is>
      </c>
      <c r="F106" s="62" t="inlineStr">
        <is>
          <t>—</t>
        </is>
      </c>
      <c r="G106" s="62" t="inlineStr">
        <is>
          <t>—</t>
        </is>
      </c>
      <c r="H106" s="62" t="inlineStr">
        <is>
          <t>Open-source signing for ML artifacts; AI model transparency initiative extends Sigstore to model signing</t>
        </is>
      </c>
      <c r="I106" s="62" t="inlineStr">
        <is>
          <t>Orgs adopting SLSA / supply-chain attestation for models</t>
        </is>
      </c>
      <c r="J106" s="62" t="n"/>
    </row>
  </sheetData>
  <autoFilter ref="A18:J106"/>
  <mergeCells count="12">
    <mergeCell ref="A1:J1"/>
    <mergeCell ref="C12:J12"/>
    <mergeCell ref="A5:J5"/>
    <mergeCell ref="C7:J7"/>
    <mergeCell ref="A17:J17"/>
    <mergeCell ref="C11:J11"/>
    <mergeCell ref="A3:J3"/>
    <mergeCell ref="C10:J10"/>
    <mergeCell ref="A15:J15"/>
    <mergeCell ref="C13:J13"/>
    <mergeCell ref="C8:J8"/>
    <mergeCell ref="C9:J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28" customWidth="1" style="54" min="1" max="1"/>
    <col width="18" customWidth="1" style="54" min="2" max="6"/>
    <col width="16" customWidth="1" style="54" min="7" max="7"/>
    <col width="14" customWidth="1" style="54" min="8" max="8"/>
    <col width="12" customWidth="1" style="54" min="9" max="11"/>
  </cols>
  <sheetData>
    <row r="1" ht="25.5" customHeight="1" s="55">
      <c r="A1" s="56" t="inlineStr">
        <is>
          <t>Compliance Framework Mapping</t>
        </is>
      </c>
    </row>
    <row r="3" ht="31.5" customHeight="1" s="55">
      <c r="A3" s="60" t="inlineStr">
        <is>
          <t>Maps guardrails to 21 compliance frameworks. Use for audit evidence and gap analysis. Customize for your industry + jurisdiction. No freeze pane on this tab — scroll freely to see the whole matrix.</t>
        </is>
      </c>
    </row>
    <row r="5" ht="18" customHeight="1" s="55">
      <c r="A5" s="59" t="inlineStr">
        <is>
          <t>1. Framework reference</t>
        </is>
      </c>
    </row>
    <row r="6" ht="31.5" customHeight="1" s="55">
      <c r="A6" s="61" t="inlineStr">
        <is>
          <t>Framework</t>
        </is>
      </c>
      <c r="B6" s="61" t="inlineStr">
        <is>
          <t>Full Name</t>
        </is>
      </c>
      <c r="C6" s="61" t="inlineStr">
        <is>
          <t>Structure / Notes</t>
        </is>
      </c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45.75" customHeight="1" s="55">
      <c r="A7" s="62" t="inlineStr">
        <is>
          <t>CSA AI Safety</t>
        </is>
      </c>
      <c r="B7" s="62" t="inlineStr">
        <is>
          <t>Cloud Security Alliance AI Controls (2024)</t>
        </is>
      </c>
      <c r="C7" s="62" t="inlineStr">
        <is>
          <t>Shared-responsibility model for AI workloads; complements CSA CCM</t>
        </is>
      </c>
      <c r="D7" s="65" t="n"/>
      <c r="E7" s="65" t="n"/>
      <c r="F7" s="65" t="n"/>
      <c r="G7" s="65" t="n"/>
      <c r="H7" s="65" t="n"/>
      <c r="I7" s="65" t="n"/>
      <c r="J7" s="65" t="n"/>
      <c r="K7" s="66" t="n"/>
    </row>
    <row r="8" ht="45.75" customHeight="1" s="55">
      <c r="A8" s="62" t="inlineStr">
        <is>
          <t>EU AI Act</t>
        </is>
      </c>
      <c r="B8" s="62" t="inlineStr">
        <is>
          <t>EU Regulation 2024/1689 (in force Aug 2024)</t>
        </is>
      </c>
      <c r="C8" s="62" t="inlineStr">
        <is>
          <t>Prohibitions enforcing Feb 2025; GPAI Aug 2025; High-risk systems Aug 2026; full Aug 2027</t>
        </is>
      </c>
      <c r="D8" s="65" t="n"/>
      <c r="E8" s="65" t="n"/>
      <c r="F8" s="65" t="n"/>
      <c r="G8" s="65" t="n"/>
      <c r="H8" s="65" t="n"/>
      <c r="I8" s="65" t="n"/>
      <c r="J8" s="65" t="n"/>
      <c r="K8" s="66" t="n"/>
    </row>
    <row r="9" ht="45.75" customHeight="1" s="55">
      <c r="A9" s="62" t="inlineStr">
        <is>
          <t>ISO 42001</t>
        </is>
      </c>
      <c r="B9" s="62" t="inlineStr">
        <is>
          <t>AI Management System Standard (Dec 2023)</t>
        </is>
      </c>
      <c r="C9" s="62" t="inlineStr">
        <is>
          <t>Clauses 5-10; Annex A controls are normative; certifiable</t>
        </is>
      </c>
      <c r="D9" s="65" t="n"/>
      <c r="E9" s="65" t="n"/>
      <c r="F9" s="65" t="n"/>
      <c r="G9" s="65" t="n"/>
      <c r="H9" s="65" t="n"/>
      <c r="I9" s="65" t="n"/>
      <c r="J9" s="65" t="n"/>
      <c r="K9" s="66" t="n"/>
    </row>
    <row r="10" ht="45.75" customHeight="1" s="55">
      <c r="A10" s="62" t="inlineStr">
        <is>
          <t>MITRE ATLAS</t>
        </is>
      </c>
      <c r="B10" s="62" t="inlineStr">
        <is>
          <t>Adversarial Threat Landscape for AI (2025)</t>
        </is>
      </c>
      <c r="C10" s="62" t="inlineStr">
        <is>
          <t>15 tactics, 66 techniques; expanded Oct 2025 with 14 agentic AI techniques</t>
        </is>
      </c>
      <c r="D10" s="65" t="n"/>
      <c r="E10" s="65" t="n"/>
      <c r="F10" s="65" t="n"/>
      <c r="G10" s="65" t="n"/>
      <c r="H10" s="65" t="n"/>
      <c r="I10" s="65" t="n"/>
      <c r="J10" s="65" t="n"/>
      <c r="K10" s="66" t="n"/>
    </row>
    <row r="11" ht="45.75" customHeight="1" s="55">
      <c r="A11" s="62" t="inlineStr">
        <is>
          <t>NIST AI RMF 1.0</t>
        </is>
      </c>
      <c r="B11" s="62" t="inlineStr">
        <is>
          <t>AI Risk Management Framework + GenAI Profile</t>
        </is>
      </c>
      <c r="C11" s="62" t="inlineStr">
        <is>
          <t>GOVERN, MAP, MEASURE, MANAGE; NIST AI 600-1 adds 200+ GenAI actions</t>
        </is>
      </c>
      <c r="D11" s="65" t="n"/>
      <c r="E11" s="65" t="n"/>
      <c r="F11" s="65" t="n"/>
      <c r="G11" s="65" t="n"/>
      <c r="H11" s="65" t="n"/>
      <c r="I11" s="65" t="n"/>
      <c r="J11" s="65" t="n"/>
      <c r="K11" s="66" t="n"/>
    </row>
    <row r="12" ht="45.75" customHeight="1" s="55">
      <c r="A12" s="62" t="inlineStr">
        <is>
          <t>NIST CSF 2.0 + IR 8596</t>
        </is>
      </c>
      <c r="B12" s="62" t="inlineStr">
        <is>
          <t>Cybersecurity Framework + AI Profile (Draft 2026)</t>
        </is>
      </c>
      <c r="C12" s="62" t="inlineStr">
        <is>
          <t>Six functions; IR 8596 adds AI-specific cybersecurity controls</t>
        </is>
      </c>
      <c r="D12" s="65" t="n"/>
      <c r="E12" s="65" t="n"/>
      <c r="F12" s="65" t="n"/>
      <c r="G12" s="65" t="n"/>
      <c r="H12" s="65" t="n"/>
      <c r="I12" s="65" t="n"/>
      <c r="J12" s="65" t="n"/>
      <c r="K12" s="66" t="n"/>
    </row>
    <row r="13" ht="31.5" customHeight="1" s="55">
      <c r="A13" s="62" t="inlineStr">
        <is>
          <t>NIST AI 600-1</t>
        </is>
      </c>
      <c r="B13" s="62" t="inlineStr">
        <is>
          <t>Generative AI Profile (July 2024)</t>
        </is>
      </c>
      <c r="C13" s="62" t="inlineStr">
        <is>
          <t>200+ actions for GenAI: hallucination, provenance, bias, data privacy</t>
        </is>
      </c>
      <c r="D13" s="65" t="n"/>
      <c r="E13" s="65" t="n"/>
      <c r="F13" s="65" t="n"/>
      <c r="G13" s="65" t="n"/>
      <c r="H13" s="65" t="n"/>
      <c r="I13" s="65" t="n"/>
      <c r="J13" s="65" t="n"/>
      <c r="K13" s="66" t="n"/>
    </row>
    <row r="14" ht="31.5" customHeight="1" s="55">
      <c r="A14" s="62" t="inlineStr">
        <is>
          <t>OWASP LLM Top 10 2025</t>
        </is>
      </c>
      <c r="B14" s="62" t="inlineStr">
        <is>
          <t>LLM Application Security Risks</t>
        </is>
      </c>
      <c r="C14" s="62" t="inlineStr">
        <is>
          <t>LLM01-LLM10 including Prompt Injection, Sensitive Info, Excessive Agency</t>
        </is>
      </c>
      <c r="D14" s="65" t="n"/>
      <c r="E14" s="65" t="n"/>
      <c r="F14" s="65" t="n"/>
      <c r="G14" s="65" t="n"/>
      <c r="H14" s="65" t="n"/>
      <c r="I14" s="65" t="n"/>
      <c r="J14" s="65" t="n"/>
      <c r="K14" s="66" t="n"/>
    </row>
    <row r="15" ht="31.5" customHeight="1" s="55">
      <c r="A15" s="62" t="inlineStr">
        <is>
          <t>SOC 2</t>
        </is>
      </c>
      <c r="B15" s="62" t="inlineStr">
        <is>
          <t>Service Organization Control 2 (AICPA)</t>
        </is>
      </c>
      <c r="C15" s="62" t="inlineStr">
        <is>
          <t>Trust Service Criteria: CC, A, PI, C, P</t>
        </is>
      </c>
      <c r="D15" s="65" t="n"/>
      <c r="E15" s="65" t="n"/>
      <c r="F15" s="65" t="n"/>
      <c r="G15" s="65" t="n"/>
      <c r="H15" s="65" t="n"/>
      <c r="I15" s="65" t="n"/>
      <c r="J15" s="65" t="n"/>
      <c r="K15" s="66" t="n"/>
    </row>
    <row r="16" ht="45.75" customHeight="1" s="55">
      <c r="A16" s="62" t="inlineStr">
        <is>
          <t>EU AI Liability Directive</t>
        </is>
      </c>
      <c r="B16" s="62" t="inlineStr">
        <is>
          <t>Proposed (2022); retains relevance 2026</t>
        </is>
      </c>
      <c r="C16" s="62" t="inlineStr">
        <is>
          <t>Non-contractual liability for damages caused by AI systems</t>
        </is>
      </c>
      <c r="D16" s="65" t="n"/>
      <c r="E16" s="65" t="n"/>
      <c r="F16" s="65" t="n"/>
      <c r="G16" s="65" t="n"/>
      <c r="H16" s="65" t="n"/>
      <c r="I16" s="65" t="n"/>
      <c r="J16" s="65" t="n"/>
      <c r="K16" s="66" t="n"/>
    </row>
    <row r="17" ht="31.5" customHeight="1" s="55">
      <c r="A17" s="62" t="inlineStr">
        <is>
          <t>UK AI Regulation</t>
        </is>
      </c>
      <c r="B17" s="62" t="inlineStr">
        <is>
          <t>Principles-based framework (2024+)</t>
        </is>
      </c>
      <c r="C17" s="62" t="inlineStr">
        <is>
          <t>Five principles; regulator-led; no central AI act as of 2026</t>
        </is>
      </c>
      <c r="D17" s="65" t="n"/>
      <c r="E17" s="65" t="n"/>
      <c r="F17" s="65" t="n"/>
      <c r="G17" s="65" t="n"/>
      <c r="H17" s="65" t="n"/>
      <c r="I17" s="65" t="n"/>
      <c r="J17" s="65" t="n"/>
      <c r="K17" s="66" t="n"/>
    </row>
    <row r="18" ht="18" customHeight="1" s="55">
      <c r="A18" s="62" t="inlineStr">
        <is>
          <t>Colorado AI Act (SB 205)</t>
        </is>
      </c>
      <c r="B18" s="62" t="inlineStr">
        <is>
          <t>Effective Feb 2026</t>
        </is>
      </c>
      <c r="C18" s="62" t="inlineStr">
        <is>
          <t>Consumer protection for high-risk AI in consequential decisions</t>
        </is>
      </c>
      <c r="D18" s="65" t="n"/>
      <c r="E18" s="65" t="n"/>
      <c r="F18" s="65" t="n"/>
      <c r="G18" s="65" t="n"/>
      <c r="H18" s="65" t="n"/>
      <c r="I18" s="65" t="n"/>
      <c r="J18" s="65" t="n"/>
      <c r="K18" s="66" t="n"/>
    </row>
    <row r="19" ht="31.5" customHeight="1" s="55">
      <c r="A19" s="62" t="inlineStr">
        <is>
          <t>California AB 2013</t>
        </is>
      </c>
      <c r="B19" s="62" t="inlineStr">
        <is>
          <t>Training Data Transparency (2024)</t>
        </is>
      </c>
      <c r="C19" s="62" t="inlineStr">
        <is>
          <t>Public disclosure of training data sources for generative AI</t>
        </is>
      </c>
      <c r="D19" s="65" t="n"/>
      <c r="E19" s="65" t="n"/>
      <c r="F19" s="65" t="n"/>
      <c r="G19" s="65" t="n"/>
      <c r="H19" s="65" t="n"/>
      <c r="I19" s="65" t="n"/>
      <c r="J19" s="65" t="n"/>
      <c r="K19" s="66" t="n"/>
    </row>
    <row r="20" ht="31.5" customHeight="1" s="55">
      <c r="A20" s="62" t="inlineStr">
        <is>
          <t>California SB 53 / Frontier AI</t>
        </is>
      </c>
      <c r="B20" s="62" t="inlineStr">
        <is>
          <t>Frontier AI safety (2025-26)</t>
        </is>
      </c>
      <c r="C20" s="62" t="inlineStr">
        <is>
          <t>Transparency, red teaming, and critical harm reporting for frontier models</t>
        </is>
      </c>
      <c r="D20" s="65" t="n"/>
      <c r="E20" s="65" t="n"/>
      <c r="F20" s="65" t="n"/>
      <c r="G20" s="65" t="n"/>
      <c r="H20" s="65" t="n"/>
      <c r="I20" s="65" t="n"/>
      <c r="J20" s="65" t="n"/>
      <c r="K20" s="66" t="n"/>
    </row>
    <row r="21" ht="45.75" customHeight="1" s="55">
      <c r="A21" s="62" t="inlineStr">
        <is>
          <t>NYC Local Law 144 (AEDT)</t>
        </is>
      </c>
      <c r="B21" s="62" t="inlineStr">
        <is>
          <t>Automated Employment Decision Tools (in force)</t>
        </is>
      </c>
      <c r="C21" s="62" t="inlineStr">
        <is>
          <t>Bias audit + candidate notice for automated hiring</t>
        </is>
      </c>
      <c r="D21" s="65" t="n"/>
      <c r="E21" s="65" t="n"/>
      <c r="F21" s="65" t="n"/>
      <c r="G21" s="65" t="n"/>
      <c r="H21" s="65" t="n"/>
      <c r="I21" s="65" t="n"/>
      <c r="J21" s="65" t="n"/>
      <c r="K21" s="66" t="n"/>
    </row>
    <row r="22" ht="45.75" customHeight="1" s="55">
      <c r="A22" s="62" t="inlineStr">
        <is>
          <t>Texas TRAIGA</t>
        </is>
      </c>
      <c r="B22" s="62" t="inlineStr">
        <is>
          <t>Texas Responsible AI Governance Act (proposed / evolving)</t>
        </is>
      </c>
      <c r="C22" s="62" t="inlineStr">
        <is>
          <t>Consumer protections and government use restrictions</t>
        </is>
      </c>
      <c r="D22" s="65" t="n"/>
      <c r="E22" s="65" t="n"/>
      <c r="F22" s="65" t="n"/>
      <c r="G22" s="65" t="n"/>
      <c r="H22" s="65" t="n"/>
      <c r="I22" s="65" t="n"/>
      <c r="J22" s="65" t="n"/>
      <c r="K22" s="66" t="n"/>
    </row>
    <row r="23" ht="31.5" customHeight="1" s="55">
      <c r="A23" s="62" t="inlineStr">
        <is>
          <t>NAIC Model Bulletin on AI</t>
        </is>
      </c>
      <c r="B23" s="62" t="inlineStr">
        <is>
          <t>Insurance: Model Bulletin (2023+)</t>
        </is>
      </c>
      <c r="C23" s="62" t="inlineStr">
        <is>
          <t>Governance, risk management, testing for insurers using AI</t>
        </is>
      </c>
      <c r="D23" s="65" t="n"/>
      <c r="E23" s="65" t="n"/>
      <c r="F23" s="65" t="n"/>
      <c r="G23" s="65" t="n"/>
      <c r="H23" s="65" t="n"/>
      <c r="I23" s="65" t="n"/>
      <c r="J23" s="65" t="n"/>
      <c r="K23" s="66" t="n"/>
    </row>
    <row r="24" ht="45.75" customHeight="1" s="55">
      <c r="A24" s="62" t="inlineStr">
        <is>
          <t>FFIEC AI Guidance</t>
        </is>
      </c>
      <c r="B24" s="62" t="inlineStr">
        <is>
          <t>Banking: Model Risk Management + AI (evolving)</t>
        </is>
      </c>
      <c r="C24" s="62" t="inlineStr">
        <is>
          <t>SR 11-7 + AI-specific addenda; third-party AI risk</t>
        </is>
      </c>
      <c r="D24" s="65" t="n"/>
      <c r="E24" s="65" t="n"/>
      <c r="F24" s="65" t="n"/>
      <c r="G24" s="65" t="n"/>
      <c r="H24" s="65" t="n"/>
      <c r="I24" s="65" t="n"/>
      <c r="J24" s="65" t="n"/>
      <c r="K24" s="66" t="n"/>
    </row>
    <row r="25" ht="45.75" customHeight="1" s="55">
      <c r="A25" s="62" t="inlineStr">
        <is>
          <t>HIPAA + HHS AI Guidance</t>
        </is>
      </c>
      <c r="B25" s="62" t="inlineStr">
        <is>
          <t>Healthcare: AI in HIPAA-covered workflows</t>
        </is>
      </c>
      <c r="C25" s="62" t="inlineStr">
        <is>
          <t>PHI handling + algorithmic bias considerations</t>
        </is>
      </c>
      <c r="D25" s="65" t="n"/>
      <c r="E25" s="65" t="n"/>
      <c r="F25" s="65" t="n"/>
      <c r="G25" s="65" t="n"/>
      <c r="H25" s="65" t="n"/>
      <c r="I25" s="65" t="n"/>
      <c r="J25" s="65" t="n"/>
      <c r="K25" s="66" t="n"/>
    </row>
    <row r="26" ht="31.5" customHeight="1" s="55">
      <c r="A26" s="62" t="inlineStr">
        <is>
          <t>FTC AI Guidance</t>
        </is>
      </c>
      <c r="B26" s="62" t="inlineStr">
        <is>
          <t>Federal Trade Commission (2023+)</t>
        </is>
      </c>
      <c r="C26" s="62" t="inlineStr">
        <is>
          <t>Prohibitions on deceptive AI; Section 5 authority</t>
        </is>
      </c>
      <c r="D26" s="65" t="n"/>
      <c r="E26" s="65" t="n"/>
      <c r="F26" s="65" t="n"/>
      <c r="G26" s="65" t="n"/>
      <c r="H26" s="65" t="n"/>
      <c r="I26" s="65" t="n"/>
      <c r="J26" s="65" t="n"/>
      <c r="K26" s="66" t="n"/>
    </row>
    <row r="27" ht="45.75" customHeight="1" s="55">
      <c r="A27" s="62" t="inlineStr">
        <is>
          <t>EEOC AI Guidance</t>
        </is>
      </c>
      <c r="B27" s="62" t="inlineStr">
        <is>
          <t>Employment discrimination in AI-enabled hiring</t>
        </is>
      </c>
      <c r="C27" s="62" t="inlineStr">
        <is>
          <t>Title VII, ADA applied to AI-enabled decisions</t>
        </is>
      </c>
      <c r="D27" s="65" t="n"/>
      <c r="E27" s="65" t="n"/>
      <c r="F27" s="65" t="n"/>
      <c r="G27" s="65" t="n"/>
      <c r="H27" s="65" t="n"/>
      <c r="I27" s="65" t="n"/>
      <c r="J27" s="65" t="n"/>
      <c r="K27" s="66" t="n"/>
    </row>
    <row r="29" ht="18" customHeight="1" s="55">
      <c r="A29" s="59" t="inlineStr">
        <is>
          <t>2. EU AI Act enforcement timeline</t>
        </is>
      </c>
    </row>
    <row r="30" ht="18" customHeight="1" s="55">
      <c r="A30" s="61" t="inlineStr">
        <is>
          <t>Date</t>
        </is>
      </c>
      <c r="B30" s="61" t="inlineStr">
        <is>
          <t>Milestone</t>
        </is>
      </c>
      <c r="C30" s="61" t="inlineStr">
        <is>
          <t>What applies</t>
        </is>
      </c>
      <c r="D30" s="61" t="n"/>
      <c r="E30" s="61" t="n"/>
      <c r="F30" s="61" t="n"/>
      <c r="G30" s="61" t="n"/>
      <c r="H30" s="61" t="n"/>
      <c r="I30" s="61" t="n"/>
      <c r="J30" s="61" t="n"/>
      <c r="K30" s="61" t="n"/>
    </row>
    <row r="31" ht="31.5" customHeight="1" s="55">
      <c r="A31" s="62" t="inlineStr">
        <is>
          <t>Aug 2024</t>
        </is>
      </c>
      <c r="B31" s="62" t="inlineStr">
        <is>
          <t>Regulation enters force</t>
        </is>
      </c>
      <c r="C31" s="62" t="inlineStr">
        <is>
          <t>Clock starts for phased obligations</t>
        </is>
      </c>
      <c r="D31" s="65" t="n"/>
      <c r="E31" s="65" t="n"/>
      <c r="F31" s="65" t="n"/>
      <c r="G31" s="65" t="n"/>
      <c r="H31" s="65" t="n"/>
      <c r="I31" s="65" t="n"/>
      <c r="J31" s="65" t="n"/>
      <c r="K31" s="66" t="n"/>
    </row>
    <row r="32" ht="31.5" customHeight="1" s="55">
      <c r="A32" s="62" t="inlineStr">
        <is>
          <t>Feb 2025</t>
        </is>
      </c>
      <c r="B32" s="62" t="inlineStr">
        <is>
          <t>Prohibitions enforcing</t>
        </is>
      </c>
      <c r="C32" s="62" t="inlineStr">
        <is>
          <t>Banned practices (social scoring, untargeted biometric scraping, manipulative AI)</t>
        </is>
      </c>
      <c r="D32" s="65" t="n"/>
      <c r="E32" s="65" t="n"/>
      <c r="F32" s="65" t="n"/>
      <c r="G32" s="65" t="n"/>
      <c r="H32" s="65" t="n"/>
      <c r="I32" s="65" t="n"/>
      <c r="J32" s="65" t="n"/>
      <c r="K32" s="66" t="n"/>
    </row>
    <row r="33" ht="18" customHeight="1" s="55">
      <c r="A33" s="62" t="inlineStr">
        <is>
          <t>Aug 2025</t>
        </is>
      </c>
      <c r="B33" s="62" t="inlineStr">
        <is>
          <t>GPAI obligations</t>
        </is>
      </c>
      <c r="C33" s="62" t="inlineStr">
        <is>
          <t>General-purpose AI model transparency, copyright, safety</t>
        </is>
      </c>
      <c r="D33" s="65" t="n"/>
      <c r="E33" s="65" t="n"/>
      <c r="F33" s="65" t="n"/>
      <c r="G33" s="65" t="n"/>
      <c r="H33" s="65" t="n"/>
      <c r="I33" s="65" t="n"/>
      <c r="J33" s="65" t="n"/>
      <c r="K33" s="66" t="n"/>
    </row>
    <row r="34" ht="31.5" customHeight="1" s="55">
      <c r="A34" s="62" t="inlineStr">
        <is>
          <t>Feb 2026</t>
        </is>
      </c>
      <c r="B34" s="62" t="inlineStr">
        <is>
          <t>Governance + codes of practice</t>
        </is>
      </c>
      <c r="C34" s="62" t="inlineStr">
        <is>
          <t>National authorities designated; codes ratified</t>
        </is>
      </c>
      <c r="D34" s="65" t="n"/>
      <c r="E34" s="65" t="n"/>
      <c r="F34" s="65" t="n"/>
      <c r="G34" s="65" t="n"/>
      <c r="H34" s="65" t="n"/>
      <c r="I34" s="65" t="n"/>
      <c r="J34" s="65" t="n"/>
      <c r="K34" s="66" t="n"/>
    </row>
    <row r="35" ht="31.5" customHeight="1" s="55">
      <c r="A35" s="62" t="inlineStr">
        <is>
          <t>Aug 2026</t>
        </is>
      </c>
      <c r="B35" s="62" t="inlineStr">
        <is>
          <t>High-risk AI systems</t>
        </is>
      </c>
      <c r="C35" s="62" t="inlineStr">
        <is>
          <t>Annex III high-risk systems must comply (HR, credit, education, critical infra)</t>
        </is>
      </c>
      <c r="D35" s="65" t="n"/>
      <c r="E35" s="65" t="n"/>
      <c r="F35" s="65" t="n"/>
      <c r="G35" s="65" t="n"/>
      <c r="H35" s="65" t="n"/>
      <c r="I35" s="65" t="n"/>
      <c r="J35" s="65" t="n"/>
      <c r="K35" s="66" t="n"/>
    </row>
    <row r="36" ht="18" customHeight="1" s="55">
      <c r="A36" s="62" t="inlineStr">
        <is>
          <t>Aug 2027</t>
        </is>
      </c>
      <c r="B36" s="62" t="inlineStr">
        <is>
          <t>Full application</t>
        </is>
      </c>
      <c r="C36" s="62" t="inlineStr">
        <is>
          <t>All Annex III categories covered; transitional periods end for most</t>
        </is>
      </c>
      <c r="D36" s="65" t="n"/>
      <c r="E36" s="65" t="n"/>
      <c r="F36" s="65" t="n"/>
      <c r="G36" s="65" t="n"/>
      <c r="H36" s="65" t="n"/>
      <c r="I36" s="65" t="n"/>
      <c r="J36" s="65" t="n"/>
      <c r="K36" s="66" t="n"/>
    </row>
    <row r="38" ht="18" customHeight="1" s="55">
      <c r="A38" s="59" t="inlineStr">
        <is>
          <t>3. Guardrail → framework control mapping (grouped by family)</t>
        </is>
      </c>
    </row>
    <row r="39" ht="18" customHeight="1" s="55">
      <c r="A39" s="60" t="inlineStr">
        <is>
          <t>Each row is one guardrail. Family banners (colored) separate the groups so you can scan by family. Extend mappings with your auditors based on what you certify against.</t>
        </is>
      </c>
    </row>
    <row r="41" ht="18" customHeight="1" s="55">
      <c r="A41" s="61" t="inlineStr">
        <is>
          <t>Guardrail</t>
        </is>
      </c>
      <c r="B41" s="61" t="inlineStr">
        <is>
          <t>CSA AI</t>
        </is>
      </c>
      <c r="C41" s="61" t="inlineStr">
        <is>
          <t>EU AI Act</t>
        </is>
      </c>
      <c r="D41" s="61" t="inlineStr">
        <is>
          <t>ISO 42001</t>
        </is>
      </c>
      <c r="E41" s="61" t="inlineStr">
        <is>
          <t>MITRE ATLAS</t>
        </is>
      </c>
      <c r="F41" s="61" t="inlineStr">
        <is>
          <t>NIST AI RMF</t>
        </is>
      </c>
      <c r="G41" s="61" t="inlineStr">
        <is>
          <t>NIST CSF 2.0</t>
        </is>
      </c>
      <c r="H41" s="61" t="inlineStr">
        <is>
          <t>OWASP LLM</t>
        </is>
      </c>
      <c r="I41" s="61" t="inlineStr">
        <is>
          <t>SOC 2</t>
        </is>
      </c>
      <c r="J41" s="61" t="inlineStr">
        <is>
          <t>CO AI Act</t>
        </is>
      </c>
      <c r="K41" s="61" t="inlineStr">
        <is>
          <t>NYC AEDT</t>
        </is>
      </c>
    </row>
    <row r="42" ht="18" customHeight="1" s="55">
      <c r="A42" s="93" t="inlineStr">
        <is>
          <t>AI POSTURE &amp; GOVERNANCE</t>
        </is>
      </c>
    </row>
    <row r="43" ht="60" customHeight="1" s="55">
      <c r="A43" s="62" t="inlineStr">
        <is>
          <t>Tool Registration</t>
        </is>
      </c>
      <c r="B43" s="62" t="inlineStr">
        <is>
          <t>Asset Mgmt / Inventory</t>
        </is>
      </c>
      <c r="C43" s="62" t="inlineStr">
        <is>
          <t>Art. 11 Documentation; Art. 60 registration</t>
        </is>
      </c>
      <c r="D43" s="62" t="inlineStr">
        <is>
          <t>A.2 AI Policy; A.4 AI Inventory</t>
        </is>
      </c>
      <c r="E43" s="62" t="inlineStr">
        <is>
          <t>Reconnaissance defense</t>
        </is>
      </c>
      <c r="F43" s="62" t="inlineStr">
        <is>
          <t>GOVERN 1.1, 1.2; MAP 1.1, 1.5</t>
        </is>
      </c>
      <c r="G43" s="62" t="inlineStr">
        <is>
          <t>ID.AM-1, ID.AM-2; GV.OC-1</t>
        </is>
      </c>
      <c r="H43" s="62" t="inlineStr">
        <is>
          <t>LLM03 Supply Chain</t>
        </is>
      </c>
      <c r="I43" s="62" t="inlineStr">
        <is>
          <t>CC6.1, CC6.6, CC7.1</t>
        </is>
      </c>
      <c r="J43" s="62" t="inlineStr">
        <is>
          <t>Notice / disclosure obligations</t>
        </is>
      </c>
      <c r="K43" s="62" t="inlineStr">
        <is>
          <t>Bias audit artifact inventory</t>
        </is>
      </c>
    </row>
    <row r="44" ht="45.75" customHeight="1" s="55">
      <c r="A44" s="62" t="inlineStr">
        <is>
          <t>Risk Classification</t>
        </is>
      </c>
      <c r="B44" s="62" t="inlineStr">
        <is>
          <t>Risk Assessment / Threat Modeling</t>
        </is>
      </c>
      <c r="C44" s="62" t="inlineStr">
        <is>
          <t>Art. 9 Risk Mgmt; Art. 6 classification</t>
        </is>
      </c>
      <c r="D44" s="62" t="inlineStr">
        <is>
          <t>6.1 Risk Assessment; A.3 Risk Mgmt</t>
        </is>
      </c>
      <c r="E44" s="62" t="inlineStr">
        <is>
          <t>Initial Access defense</t>
        </is>
      </c>
      <c r="F44" s="62" t="inlineStr">
        <is>
          <t>MAP 1.1-1.6; MAP 2.1-2.3</t>
        </is>
      </c>
      <c r="G44" s="62" t="inlineStr">
        <is>
          <t>ID.RA-1 to ID.RA-6; GV.RM-1</t>
        </is>
      </c>
      <c r="H44" s="62" t="inlineStr">
        <is>
          <t>Risk-based approach across LLM01-10</t>
        </is>
      </c>
      <c r="I44" s="62" t="inlineStr">
        <is>
          <t>CC3.1, CC3.2, CC3.4</t>
        </is>
      </c>
      <c r="J44" s="62" t="inlineStr">
        <is>
          <t>Impact assessment</t>
        </is>
      </c>
      <c r="K44" s="62" t="n"/>
    </row>
    <row r="45" ht="18" customHeight="1" s="55">
      <c r="A45" s="62" t="inlineStr">
        <is>
          <t>Approval Obtained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</row>
    <row r="46" ht="18" customHeight="1" s="55">
      <c r="A46" s="62" t="inlineStr">
        <is>
          <t>Policy Alignment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</row>
    <row r="47" ht="18" customHeight="1" s="55">
      <c r="A47" s="62" t="inlineStr">
        <is>
          <t>Owner Assignment</t>
        </is>
      </c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</row>
    <row r="48" ht="45.75" customHeight="1" s="55">
      <c r="A48" s="62" t="inlineStr">
        <is>
          <t>Vendor Assessment</t>
        </is>
      </c>
      <c r="B48" s="62" t="inlineStr">
        <is>
          <t>Vendor Mgmt / Third Party</t>
        </is>
      </c>
      <c r="C48" s="62" t="inlineStr">
        <is>
          <t>Art. 9(4)(d); Art. 25 importer/distributor</t>
        </is>
      </c>
      <c r="D48" s="62" t="inlineStr">
        <is>
          <t>A.10 Third Party; 8.4 Outsourcing</t>
        </is>
      </c>
      <c r="E48" s="62" t="inlineStr">
        <is>
          <t>Supply Chain Compromise</t>
        </is>
      </c>
      <c r="F48" s="62" t="inlineStr">
        <is>
          <t>GOVERN 6.1, 6.2; MAP 3.4, 3.5</t>
        </is>
      </c>
      <c r="G48" s="62" t="inlineStr">
        <is>
          <t>GV.SC-1 to GV.SC-10; ID.RA-9</t>
        </is>
      </c>
      <c r="H48" s="62" t="inlineStr">
        <is>
          <t>LLM03 Supply Chain</t>
        </is>
      </c>
      <c r="I48" s="62" t="inlineStr">
        <is>
          <t>CC9.1, CC9.2; CC3.4</t>
        </is>
      </c>
      <c r="J48" s="62" t="n"/>
      <c r="K48" s="62" t="n"/>
    </row>
    <row r="49" ht="18" customHeight="1" s="55">
      <c r="A49" s="62" t="inlineStr">
        <is>
          <t>Compliance Mapping</t>
        </is>
      </c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</row>
    <row r="50" ht="60" customHeight="1" s="55">
      <c r="A50" s="62" t="inlineStr">
        <is>
          <t>Data Residency Review</t>
        </is>
      </c>
      <c r="B50" s="62" t="n"/>
      <c r="C50" s="62" t="inlineStr">
        <is>
          <t>Art. 28 authorised representatives (non-EU providers)</t>
        </is>
      </c>
      <c r="D50" s="62" t="inlineStr">
        <is>
          <t>A.10 Third Party</t>
        </is>
      </c>
      <c r="E50" s="62" t="n"/>
      <c r="F50" s="62" t="n"/>
      <c r="G50" s="62" t="inlineStr">
        <is>
          <t>GV.SC-2, ID.AM-5</t>
        </is>
      </c>
      <c r="H50" s="62" t="n"/>
      <c r="I50" s="62" t="inlineStr">
        <is>
          <t>C1.1, P4.1</t>
        </is>
      </c>
      <c r="J50" s="62" t="n"/>
      <c r="K50" s="62" t="n"/>
    </row>
    <row r="52" ht="18" customHeight="1" s="55">
      <c r="A52" s="95" t="inlineStr">
        <is>
          <t>RUNTIME PROTECTION</t>
        </is>
      </c>
    </row>
    <row r="53" ht="45.75" customHeight="1" s="55">
      <c r="A53" s="62" t="inlineStr">
        <is>
          <t>Input Validation</t>
        </is>
      </c>
      <c r="B53" s="62" t="inlineStr">
        <is>
          <t>Input Validation / Injection Prevention</t>
        </is>
      </c>
      <c r="C53" s="62" t="inlineStr">
        <is>
          <t>Art. 15(4) robustness</t>
        </is>
      </c>
      <c r="D53" s="62" t="inlineStr">
        <is>
          <t>A.6 Data Quality; A.8 Operation</t>
        </is>
      </c>
      <c r="E53" s="62" t="inlineStr">
        <is>
          <t>AML.T0051 Prompt Injection</t>
        </is>
      </c>
      <c r="F53" s="62" t="inlineStr">
        <is>
          <t>MEASURE 2.6, 2.7; MANAGE 2.2</t>
        </is>
      </c>
      <c r="G53" s="62" t="inlineStr">
        <is>
          <t>PR.DS-1; DE.CM-1</t>
        </is>
      </c>
      <c r="H53" s="62" t="inlineStr">
        <is>
          <t>LLM01 Prompt Injection; LLM07 System Prompt</t>
        </is>
      </c>
      <c r="I53" s="62" t="inlineStr">
        <is>
          <t>CC6.6, CC6.7; PI1.4</t>
        </is>
      </c>
      <c r="J53" s="62" t="n"/>
      <c r="K53" s="62" t="n"/>
    </row>
    <row r="54" ht="18" customHeight="1" s="55">
      <c r="A54" s="62" t="inlineStr">
        <is>
          <t>Output Filtering</t>
        </is>
      </c>
      <c r="B54" s="62" t="n"/>
      <c r="C54" s="62" t="n"/>
      <c r="D54" s="62" t="n"/>
      <c r="E54" s="62" t="n"/>
      <c r="F54" s="62" t="n"/>
      <c r="G54" s="62" t="n"/>
      <c r="H54" s="62" t="n"/>
      <c r="I54" s="62" t="n"/>
      <c r="J54" s="62" t="n"/>
      <c r="K54" s="62" t="n"/>
    </row>
    <row r="55" ht="18" customHeight="1" s="55">
      <c r="A55" s="62" t="inlineStr">
        <is>
          <t>Rate Limiting (per user)</t>
        </is>
      </c>
      <c r="B55" s="62" t="n"/>
      <c r="C55" s="62" t="n"/>
      <c r="D55" s="62" t="n"/>
      <c r="E55" s="62" t="n"/>
      <c r="F55" s="62" t="n"/>
      <c r="G55" s="62" t="n"/>
      <c r="H55" s="62" t="n"/>
      <c r="I55" s="62" t="n"/>
      <c r="J55" s="62" t="n"/>
      <c r="K55" s="62" t="n"/>
    </row>
    <row r="56" ht="18" customHeight="1" s="55">
      <c r="A56" s="62" t="inlineStr">
        <is>
          <t>Rate Limiting (per workload)</t>
        </is>
      </c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</row>
    <row r="57" ht="18" customHeight="1" s="55">
      <c r="A57" s="62" t="inlineStr">
        <is>
          <t>Content Safety</t>
        </is>
      </c>
      <c r="B57" s="62" t="n"/>
      <c r="C57" s="62" t="n"/>
      <c r="D57" s="62" t="n"/>
      <c r="E57" s="62" t="n"/>
      <c r="F57" s="62" t="n"/>
      <c r="G57" s="62" t="n"/>
      <c r="H57" s="62" t="n"/>
      <c r="I57" s="62" t="n"/>
      <c r="J57" s="62" t="n"/>
      <c r="K57" s="62" t="n"/>
    </row>
    <row r="58" ht="45.75" customHeight="1" s="55">
      <c r="A58" s="62" t="inlineStr">
        <is>
          <t>Multi-Modal Input Validation</t>
        </is>
      </c>
      <c r="B58" s="62" t="inlineStr">
        <is>
          <t>Input Validation (multi-modal)</t>
        </is>
      </c>
      <c r="C58" s="62" t="n"/>
      <c r="D58" s="62" t="n"/>
      <c r="E58" s="62" t="inlineStr">
        <is>
          <t>AML.T0051 Prompt Injection (cross-modal)</t>
        </is>
      </c>
      <c r="F58" s="62" t="inlineStr">
        <is>
          <t>MEASURE 2.6, 2.7</t>
        </is>
      </c>
      <c r="G58" s="62" t="n"/>
      <c r="H58" s="62" t="inlineStr">
        <is>
          <t>LLM01 Prompt Injection</t>
        </is>
      </c>
      <c r="I58" s="62" t="inlineStr">
        <is>
          <t>CC6.6, CC6.7</t>
        </is>
      </c>
      <c r="J58" s="62" t="n"/>
      <c r="K58" s="62" t="n"/>
    </row>
    <row r="59" ht="18" customHeight="1" s="55">
      <c r="A59" s="62" t="inlineStr">
        <is>
          <t>Domain Restrictions (egress)</t>
        </is>
      </c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</row>
    <row r="60" ht="45.75" customHeight="1" s="55">
      <c r="A60" s="62" t="inlineStr">
        <is>
          <t>Prompt Cache Isolation</t>
        </is>
      </c>
      <c r="B60" s="62" t="inlineStr">
        <is>
          <t>Tenancy Isolation</t>
        </is>
      </c>
      <c r="C60" s="62" t="inlineStr">
        <is>
          <t>Art. 15(5) cybersecurity</t>
        </is>
      </c>
      <c r="D60" s="62" t="inlineStr">
        <is>
          <t>A.8.3 Protection</t>
        </is>
      </c>
      <c r="E60" s="62" t="n"/>
      <c r="F60" s="62" t="inlineStr">
        <is>
          <t>MANAGE 2.4</t>
        </is>
      </c>
      <c r="G60" s="62" t="n"/>
      <c r="H60" s="62" t="inlineStr">
        <is>
          <t>LLM02 Sensitive Info Disclosure</t>
        </is>
      </c>
      <c r="I60" s="62" t="inlineStr">
        <is>
          <t>CC6.1, C1.1</t>
        </is>
      </c>
      <c r="J60" s="62" t="n"/>
      <c r="K60" s="62" t="n"/>
    </row>
    <row r="61" ht="45.75" customHeight="1" s="55">
      <c r="A61" s="62" t="inlineStr">
        <is>
          <t>Fallback / Graceful Degradation</t>
        </is>
      </c>
      <c r="B61" s="62" t="n"/>
      <c r="C61" s="62" t="inlineStr">
        <is>
          <t>Art. 15 robustness; Art. 17 QMS</t>
        </is>
      </c>
      <c r="D61" s="62" t="inlineStr">
        <is>
          <t>A.8 Operation</t>
        </is>
      </c>
      <c r="E61" s="62" t="n"/>
      <c r="F61" s="62" t="inlineStr">
        <is>
          <t>MANAGE 4.1</t>
        </is>
      </c>
      <c r="G61" s="62" t="inlineStr">
        <is>
          <t>PR.PS-2, RC.RP-1</t>
        </is>
      </c>
      <c r="H61" s="62" t="n"/>
      <c r="I61" s="62" t="inlineStr">
        <is>
          <t>A1.1, CC7.4</t>
        </is>
      </c>
      <c r="J61" s="62" t="n"/>
      <c r="K61" s="62" t="n"/>
    </row>
    <row r="63" ht="18" customHeight="1" s="55">
      <c r="A63" s="96" t="inlineStr">
        <is>
          <t>SHADOW AI &amp; DISCOVERY</t>
        </is>
      </c>
    </row>
    <row r="64" ht="31.5" customHeight="1" s="55">
      <c r="A64" s="62" t="inlineStr">
        <is>
          <t>Tool Visibility</t>
        </is>
      </c>
      <c r="B64" s="62" t="inlineStr">
        <is>
          <t>Shadow IT / Discovery</t>
        </is>
      </c>
      <c r="C64" s="62" t="n"/>
      <c r="D64" s="62" t="inlineStr">
        <is>
          <t>A.4 AI Inventory</t>
        </is>
      </c>
      <c r="E64" s="62" t="n"/>
      <c r="F64" s="62" t="inlineStr">
        <is>
          <t>GOVERN 1.5; MAP 1.5</t>
        </is>
      </c>
      <c r="G64" s="62" t="inlineStr">
        <is>
          <t>ID.AM-1; DE.CM-7</t>
        </is>
      </c>
      <c r="H64" s="62" t="inlineStr">
        <is>
          <t>LLM03 Supply Chain</t>
        </is>
      </c>
      <c r="I64" s="62" t="inlineStr">
        <is>
          <t>CC6.1, CC7.1</t>
        </is>
      </c>
      <c r="J64" s="62" t="n"/>
      <c r="K64" s="62" t="n"/>
    </row>
    <row r="65" ht="18" customHeight="1" s="55">
      <c r="A65" s="62" t="inlineStr">
        <is>
          <t>Sanctioned Status</t>
        </is>
      </c>
      <c r="B65" s="62" t="n"/>
      <c r="C65" s="62" t="n"/>
      <c r="D65" s="62" t="n"/>
      <c r="E65" s="62" t="n"/>
      <c r="F65" s="62" t="n"/>
      <c r="G65" s="62" t="n"/>
      <c r="H65" s="62" t="n"/>
      <c r="I65" s="62" t="n"/>
      <c r="J65" s="62" t="n"/>
      <c r="K65" s="62" t="n"/>
    </row>
    <row r="66" ht="18" customHeight="1" s="55">
      <c r="A66" s="62" t="inlineStr">
        <is>
          <t>User Access Tracked</t>
        </is>
      </c>
      <c r="B66" s="62" t="n"/>
      <c r="C66" s="62" t="n"/>
      <c r="D66" s="62" t="n"/>
      <c r="E66" s="62" t="n"/>
      <c r="F66" s="62" t="n"/>
      <c r="G66" s="62" t="n"/>
      <c r="H66" s="62" t="n"/>
      <c r="I66" s="62" t="n"/>
      <c r="J66" s="62" t="n"/>
      <c r="K66" s="62" t="n"/>
    </row>
    <row r="67" ht="18" customHeight="1" s="55">
      <c r="A67" s="62" t="inlineStr">
        <is>
          <t>Usage Analytics</t>
        </is>
      </c>
      <c r="B67" s="62" t="n"/>
      <c r="C67" s="62" t="n"/>
      <c r="D67" s="62" t="n"/>
      <c r="E67" s="62" t="n"/>
      <c r="F67" s="62" t="n"/>
      <c r="G67" s="62" t="n"/>
      <c r="H67" s="62" t="n"/>
      <c r="I67" s="62" t="n"/>
      <c r="J67" s="62" t="n"/>
      <c r="K67" s="62" t="n"/>
    </row>
    <row r="68" ht="31.5" customHeight="1" s="55">
      <c r="A68" s="62" t="inlineStr">
        <is>
          <t>Personal-Account Blocking</t>
        </is>
      </c>
      <c r="B68" s="62" t="inlineStr">
        <is>
          <t>Access Control / Shadow IT</t>
        </is>
      </c>
      <c r="C68" s="62" t="n"/>
      <c r="D68" s="62" t="n"/>
      <c r="E68" s="62" t="n"/>
      <c r="F68" s="62" t="inlineStr">
        <is>
          <t>GOVERN 1.5</t>
        </is>
      </c>
      <c r="G68" s="62" t="inlineStr">
        <is>
          <t>PR.AC-5, DE.CM-7</t>
        </is>
      </c>
      <c r="H68" s="62" t="inlineStr">
        <is>
          <t>LLM03 Supply Chain</t>
        </is>
      </c>
      <c r="I68" s="62" t="n"/>
      <c r="J68" s="62" t="n"/>
      <c r="K68" s="62" t="n"/>
    </row>
    <row r="70" ht="18" customHeight="1" s="55">
      <c r="A70" s="97" t="inlineStr">
        <is>
          <t>OBSERVABILITY &amp; EVALUATION</t>
        </is>
      </c>
    </row>
    <row r="71" ht="45.75" customHeight="1" s="55">
      <c r="A71" s="62" t="inlineStr">
        <is>
          <t>Audit Logging</t>
        </is>
      </c>
      <c r="B71" s="62" t="inlineStr">
        <is>
          <t>Audit Logging / Traceability</t>
        </is>
      </c>
      <c r="C71" s="62" t="inlineStr">
        <is>
          <t>Art. 12 automatic logs</t>
        </is>
      </c>
      <c r="D71" s="62" t="inlineStr">
        <is>
          <t>A.8.5 Recording; 9.2 Internal Audit</t>
        </is>
      </c>
      <c r="E71" s="62" t="inlineStr">
        <is>
          <t>All tactics (detection)</t>
        </is>
      </c>
      <c r="F71" s="62" t="inlineStr">
        <is>
          <t>MEASURE 2.1-2.3; GOVERN 4.1</t>
        </is>
      </c>
      <c r="G71" s="62" t="inlineStr">
        <is>
          <t>DE.CM-1, DE.CM-9</t>
        </is>
      </c>
      <c r="H71" s="62" t="inlineStr">
        <is>
          <t>Supports detection across all</t>
        </is>
      </c>
      <c r="I71" s="62" t="inlineStr">
        <is>
          <t>CC7.2, CC7.3; CC4.1</t>
        </is>
      </c>
      <c r="J71" s="62" t="n"/>
      <c r="K71" s="62" t="n"/>
    </row>
    <row r="72" ht="18" customHeight="1" s="55">
      <c r="A72" s="62" t="inlineStr">
        <is>
          <t>Log Retention</t>
        </is>
      </c>
      <c r="B72" s="62" t="n"/>
      <c r="C72" s="62" t="n"/>
      <c r="D72" s="62" t="n"/>
      <c r="E72" s="62" t="n"/>
      <c r="F72" s="62" t="n"/>
      <c r="G72" s="62" t="n"/>
      <c r="H72" s="62" t="n"/>
      <c r="I72" s="62" t="n"/>
      <c r="J72" s="62" t="n"/>
      <c r="K72" s="62" t="n"/>
    </row>
    <row r="73" ht="18" customHeight="1" s="55">
      <c r="A73" s="62" t="inlineStr">
        <is>
          <t>SIEM Integration</t>
        </is>
      </c>
      <c r="B73" s="62" t="n"/>
      <c r="C73" s="62" t="n"/>
      <c r="D73" s="62" t="n"/>
      <c r="E73" s="62" t="n"/>
      <c r="F73" s="62" t="n"/>
      <c r="G73" s="62" t="n"/>
      <c r="H73" s="62" t="n"/>
      <c r="I73" s="62" t="n"/>
      <c r="J73" s="62" t="n"/>
      <c r="K73" s="62" t="n"/>
    </row>
    <row r="74" ht="18" customHeight="1" s="55">
      <c r="A74" s="62" t="inlineStr">
        <is>
          <t>Alerting Configured</t>
        </is>
      </c>
      <c r="B74" s="62" t="n"/>
      <c r="C74" s="62" t="n"/>
      <c r="D74" s="62" t="n"/>
      <c r="E74" s="62" t="n"/>
      <c r="F74" s="62" t="n"/>
      <c r="G74" s="62" t="n"/>
      <c r="H74" s="62" t="n"/>
      <c r="I74" s="62" t="n"/>
      <c r="J74" s="62" t="n"/>
      <c r="K74" s="62" t="n"/>
    </row>
    <row r="75" ht="18" customHeight="1" s="55">
      <c r="A75" s="62" t="inlineStr">
        <is>
          <t>Performance / Drift Monitoring</t>
        </is>
      </c>
      <c r="B75" s="62" t="n"/>
      <c r="C75" s="62" t="n"/>
      <c r="D75" s="62" t="n"/>
      <c r="E75" s="62" t="n"/>
      <c r="F75" s="62" t="n"/>
      <c r="G75" s="62" t="n"/>
      <c r="H75" s="62" t="n"/>
      <c r="I75" s="62" t="n"/>
      <c r="J75" s="62" t="n"/>
      <c r="K75" s="62" t="n"/>
    </row>
    <row r="76" ht="31.5" customHeight="1" s="55">
      <c r="A76" s="62" t="inlineStr">
        <is>
          <t>Red Team / Adversarial Testing</t>
        </is>
      </c>
      <c r="B76" s="62" t="inlineStr">
        <is>
          <t>Adversarial Testing</t>
        </is>
      </c>
      <c r="C76" s="62" t="inlineStr">
        <is>
          <t>Art. 9(6); Art. 17(1)(f)</t>
        </is>
      </c>
      <c r="D76" s="62" t="inlineStr">
        <is>
          <t>9.2 Internal Audit</t>
        </is>
      </c>
      <c r="E76" s="62" t="inlineStr">
        <is>
          <t>Red team technique coverage</t>
        </is>
      </c>
      <c r="F76" s="62" t="inlineStr">
        <is>
          <t>MEASURE 2.5-2.11</t>
        </is>
      </c>
      <c r="G76" s="62" t="n"/>
      <c r="H76" s="62" t="n"/>
      <c r="I76" s="62" t="inlineStr">
        <is>
          <t>CC4.1, CC4.2</t>
        </is>
      </c>
      <c r="J76" s="62" t="n"/>
      <c r="K76" s="62" t="n"/>
    </row>
    <row r="77" ht="45.75" customHeight="1" s="55">
      <c r="A77" s="62" t="inlineStr">
        <is>
          <t>Bias / Fairness Testing</t>
        </is>
      </c>
      <c r="B77" s="62" t="n"/>
      <c r="C77" s="62" t="inlineStr">
        <is>
          <t>Art. 10 data governance; Art. 15 accuracy</t>
        </is>
      </c>
      <c r="D77" s="62" t="inlineStr">
        <is>
          <t>A.6.5 Bias</t>
        </is>
      </c>
      <c r="E77" s="62" t="n"/>
      <c r="F77" s="62" t="inlineStr">
        <is>
          <t>MEASURE 2.11 fairness</t>
        </is>
      </c>
      <c r="G77" s="62" t="n"/>
      <c r="H77" s="62" t="n"/>
      <c r="I77" s="62" t="inlineStr">
        <is>
          <t>PI1.2, PI1.3</t>
        </is>
      </c>
      <c r="J77" s="62" t="inlineStr">
        <is>
          <t>Algorithmic discrimination protections</t>
        </is>
      </c>
      <c r="K77" s="62" t="inlineStr">
        <is>
          <t>Annual bias audit requirement</t>
        </is>
      </c>
    </row>
    <row r="79" ht="18" customHeight="1" s="55">
      <c r="A79" s="98" t="inlineStr">
        <is>
          <t>DATA PROTECTION FOR AI</t>
        </is>
      </c>
    </row>
    <row r="80" ht="45.75" customHeight="1" s="55">
      <c r="A80" s="62" t="inlineStr">
        <is>
          <t>DLP Rules Active</t>
        </is>
      </c>
      <c r="B80" s="62" t="inlineStr">
        <is>
          <t>Data Loss Prevention</t>
        </is>
      </c>
      <c r="C80" s="62" t="inlineStr">
        <is>
          <t>Art. 10 data governance</t>
        </is>
      </c>
      <c r="D80" s="62" t="inlineStr">
        <is>
          <t>A.6 Data for AI; A.8.3 Protection</t>
        </is>
      </c>
      <c r="E80" s="62" t="inlineStr">
        <is>
          <t>AML.T0037 Exfiltration</t>
        </is>
      </c>
      <c r="F80" s="62" t="inlineStr">
        <is>
          <t>MAP 4.1, 4.2; MANAGE 2.4</t>
        </is>
      </c>
      <c r="G80" s="62" t="inlineStr">
        <is>
          <t>PR.DS-1 to PR.DS-5</t>
        </is>
      </c>
      <c r="H80" s="62" t="inlineStr">
        <is>
          <t>LLM02 Sensitive Info Disclosure</t>
        </is>
      </c>
      <c r="I80" s="62" t="inlineStr">
        <is>
          <t>CC6.7, C1.1, C1.2</t>
        </is>
      </c>
      <c r="J80" s="62" t="n"/>
      <c r="K80" s="62" t="n"/>
    </row>
    <row r="81" ht="18" customHeight="1" s="55">
      <c r="A81" s="62" t="inlineStr">
        <is>
          <t>PII Detection</t>
        </is>
      </c>
      <c r="B81" s="62" t="n"/>
      <c r="C81" s="62" t="n"/>
      <c r="D81" s="62" t="n"/>
      <c r="E81" s="62" t="n"/>
      <c r="F81" s="62" t="n"/>
      <c r="G81" s="62" t="n"/>
      <c r="H81" s="62" t="n"/>
      <c r="I81" s="62" t="n"/>
      <c r="J81" s="62" t="n"/>
      <c r="K81" s="62" t="n"/>
    </row>
    <row r="82" ht="18" customHeight="1" s="55">
      <c r="A82" s="62" t="inlineStr">
        <is>
          <t>Data Classification</t>
        </is>
      </c>
      <c r="B82" s="62" t="n"/>
      <c r="C82" s="62" t="n"/>
      <c r="D82" s="62" t="n"/>
      <c r="E82" s="62" t="n"/>
      <c r="F82" s="62" t="n"/>
      <c r="G82" s="62" t="n"/>
      <c r="H82" s="62" t="n"/>
      <c r="I82" s="62" t="n"/>
      <c r="J82" s="62" t="n"/>
      <c r="K82" s="62" t="n"/>
    </row>
    <row r="83" ht="18" customHeight="1" s="55">
      <c r="A83" s="62" t="inlineStr">
        <is>
          <t>Encryption - Transit</t>
        </is>
      </c>
      <c r="B83" s="62" t="n"/>
      <c r="C83" s="62" t="n"/>
      <c r="D83" s="62" t="n"/>
      <c r="E83" s="62" t="n"/>
      <c r="F83" s="62" t="n"/>
      <c r="G83" s="62" t="n"/>
      <c r="H83" s="62" t="n"/>
      <c r="I83" s="62" t="n"/>
      <c r="J83" s="62" t="n"/>
      <c r="K83" s="62" t="n"/>
    </row>
    <row r="84" ht="18" customHeight="1" s="55">
      <c r="A84" s="62" t="inlineStr">
        <is>
          <t>Encryption - Rest</t>
        </is>
      </c>
      <c r="B84" s="62" t="n"/>
      <c r="C84" s="62" t="n"/>
      <c r="D84" s="62" t="n"/>
      <c r="E84" s="62" t="n"/>
      <c r="F84" s="62" t="n"/>
      <c r="G84" s="62" t="n"/>
      <c r="H84" s="62" t="n"/>
      <c r="I84" s="62" t="n"/>
      <c r="J84" s="62" t="n"/>
      <c r="K84" s="62" t="n"/>
    </row>
    <row r="85" ht="18" customHeight="1" s="55">
      <c r="A85" s="62" t="inlineStr">
        <is>
          <t>Data Masking</t>
        </is>
      </c>
      <c r="B85" s="62" t="n"/>
      <c r="C85" s="62" t="n"/>
      <c r="D85" s="62" t="n"/>
      <c r="E85" s="62" t="n"/>
      <c r="F85" s="62" t="n"/>
      <c r="G85" s="62" t="n"/>
      <c r="H85" s="62" t="n"/>
      <c r="I85" s="62" t="n"/>
      <c r="J85" s="62" t="n"/>
      <c r="K85" s="62" t="n"/>
    </row>
    <row r="86" ht="18" customHeight="1" s="55">
      <c r="A86" s="62" t="inlineStr">
        <is>
          <t>Retention Policies</t>
        </is>
      </c>
      <c r="B86" s="62" t="n"/>
      <c r="C86" s="62" t="n"/>
      <c r="D86" s="62" t="n"/>
      <c r="E86" s="62" t="n"/>
      <c r="F86" s="62" t="n"/>
      <c r="G86" s="62" t="n"/>
      <c r="H86" s="62" t="n"/>
      <c r="I86" s="62" t="n"/>
      <c r="J86" s="62" t="n"/>
      <c r="K86" s="62" t="n"/>
    </row>
    <row r="87" ht="31.5" customHeight="1" s="55">
      <c r="A87" s="62" t="inlineStr">
        <is>
          <t>Training Data Opt-Out</t>
        </is>
      </c>
      <c r="B87" s="62" t="n"/>
      <c r="C87" s="62" t="inlineStr">
        <is>
          <t>Art. 10; GDPR lawful basis</t>
        </is>
      </c>
      <c r="D87" s="62" t="inlineStr">
        <is>
          <t>A.6.3 Acquisition</t>
        </is>
      </c>
      <c r="E87" s="62" t="n"/>
      <c r="F87" s="62" t="inlineStr">
        <is>
          <t>MAP 4.1; GOVERN 5.1</t>
        </is>
      </c>
      <c r="G87" s="62" t="n"/>
      <c r="H87" s="62" t="n"/>
      <c r="I87" s="62" t="inlineStr">
        <is>
          <t>C1.1, P2.1</t>
        </is>
      </c>
      <c r="J87" s="62" t="n"/>
      <c r="K87" s="62" t="n"/>
    </row>
    <row r="88" ht="60" customHeight="1" s="55">
      <c r="A88" s="62" t="inlineStr">
        <is>
          <t>Content Provenance / Watermarking</t>
        </is>
      </c>
      <c r="B88" s="62" t="n"/>
      <c r="C88" s="62" t="inlineStr">
        <is>
          <t>Art. 50 content disclosure for generative AI</t>
        </is>
      </c>
      <c r="D88" s="62" t="n"/>
      <c r="E88" s="62" t="n"/>
      <c r="F88" s="62" t="n"/>
      <c r="G88" s="62" t="n"/>
      <c r="H88" s="62" t="n"/>
      <c r="I88" s="62" t="n"/>
      <c r="J88" s="62" t="n"/>
      <c r="K88" s="62" t="n"/>
    </row>
    <row r="89" ht="45.75" customHeight="1" s="55">
      <c r="A89" s="62" t="inlineStr">
        <is>
          <t>Incident Disclosure to Users</t>
        </is>
      </c>
      <c r="B89" s="62" t="n"/>
      <c r="C89" s="62" t="inlineStr">
        <is>
          <t>Art. 62 serious incident reporting</t>
        </is>
      </c>
      <c r="D89" s="62" t="inlineStr">
        <is>
          <t>A.8.4 Incident handling</t>
        </is>
      </c>
      <c r="E89" s="62" t="n"/>
      <c r="F89" s="62" t="inlineStr">
        <is>
          <t>MANAGE 3.1, 3.2</t>
        </is>
      </c>
      <c r="G89" s="62" t="inlineStr">
        <is>
          <t>RS.CO-2, RC.CO-1</t>
        </is>
      </c>
      <c r="H89" s="62" t="n"/>
      <c r="I89" s="62" t="inlineStr">
        <is>
          <t>CC7.4, CC7.5</t>
        </is>
      </c>
      <c r="J89" s="62" t="n"/>
      <c r="K89" s="62" t="n"/>
    </row>
    <row r="91" ht="18" customHeight="1" s="55">
      <c r="A91" s="99" t="inlineStr">
        <is>
          <t>NHI &amp; AGENTIC ACCESS</t>
        </is>
      </c>
    </row>
    <row r="92" ht="31.5" customHeight="1" s="55">
      <c r="A92" s="62" t="inlineStr">
        <is>
          <t>Service Account Scoping</t>
        </is>
      </c>
      <c r="B92" s="62" t="inlineStr">
        <is>
          <t>Identity Mgmt / Service Accounts</t>
        </is>
      </c>
      <c r="C92" s="62" t="inlineStr">
        <is>
          <t>Art. 14(4)(d); Art. 15(5)</t>
        </is>
      </c>
      <c r="D92" s="62" t="inlineStr">
        <is>
          <t>A.8.1 Operation</t>
        </is>
      </c>
      <c r="E92" s="62" t="inlineStr">
        <is>
          <t>AML.T0012 Valid Accounts</t>
        </is>
      </c>
      <c r="F92" s="62" t="inlineStr">
        <is>
          <t>GOVERN 1.3; MAP 3.3</t>
        </is>
      </c>
      <c r="G92" s="62" t="inlineStr">
        <is>
          <t>PR.AA-1 to PR.AA-5</t>
        </is>
      </c>
      <c r="H92" s="62" t="inlineStr">
        <is>
          <t>LLM06 Excessive Agency</t>
        </is>
      </c>
      <c r="I92" s="62" t="inlineStr">
        <is>
          <t>CC6.1, CC6.2, CC6.3</t>
        </is>
      </c>
      <c r="J92" s="62" t="n"/>
      <c r="K92" s="62" t="n"/>
    </row>
    <row r="93" ht="18" customHeight="1" s="55">
      <c r="A93" s="62" t="inlineStr">
        <is>
          <t>Secrets Management</t>
        </is>
      </c>
      <c r="B93" s="62" t="n"/>
      <c r="C93" s="62" t="n"/>
      <c r="D93" s="62" t="n"/>
      <c r="E93" s="62" t="n"/>
      <c r="F93" s="62" t="n"/>
      <c r="G93" s="62" t="n"/>
      <c r="H93" s="62" t="n"/>
      <c r="I93" s="62" t="n"/>
      <c r="J93" s="62" t="n"/>
      <c r="K93" s="62" t="n"/>
    </row>
    <row r="94" ht="18" customHeight="1" s="55">
      <c r="A94" s="62" t="inlineStr">
        <is>
          <t>Credential Rotation</t>
        </is>
      </c>
      <c r="B94" s="62" t="n"/>
      <c r="C94" s="62" t="n"/>
      <c r="D94" s="62" t="n"/>
      <c r="E94" s="62" t="n"/>
      <c r="F94" s="62" t="n"/>
      <c r="G94" s="62" t="n"/>
      <c r="H94" s="62" t="n"/>
      <c r="I94" s="62" t="n"/>
      <c r="J94" s="62" t="n"/>
      <c r="K94" s="62" t="n"/>
    </row>
    <row r="95" ht="18" customHeight="1" s="55">
      <c r="A95" s="62" t="inlineStr">
        <is>
          <t>Short-Lived Tokens</t>
        </is>
      </c>
      <c r="B95" s="62" t="n"/>
      <c r="C95" s="62" t="n"/>
      <c r="D95" s="62" t="n"/>
      <c r="E95" s="62" t="n"/>
      <c r="F95" s="62" t="n"/>
      <c r="G95" s="62" t="n"/>
      <c r="H95" s="62" t="n"/>
      <c r="I95" s="62" t="n"/>
      <c r="J95" s="62" t="n"/>
      <c r="K95" s="62" t="n"/>
    </row>
    <row r="96" ht="18" customHeight="1" s="55">
      <c r="A96" s="62" t="inlineStr">
        <is>
          <t>Agent Authentication</t>
        </is>
      </c>
      <c r="B96" s="62" t="n"/>
      <c r="C96" s="62" t="n"/>
      <c r="D96" s="62" t="n"/>
      <c r="E96" s="62" t="n"/>
      <c r="F96" s="62" t="n"/>
      <c r="G96" s="62" t="n"/>
      <c r="H96" s="62" t="n"/>
      <c r="I96" s="62" t="n"/>
      <c r="J96" s="62" t="n"/>
      <c r="K96" s="62" t="n"/>
    </row>
    <row r="97" ht="18" customHeight="1" s="55">
      <c r="A97" s="62" t="inlineStr">
        <is>
          <t>Intent Validation</t>
        </is>
      </c>
      <c r="B97" s="62" t="n"/>
      <c r="C97" s="62" t="n"/>
      <c r="D97" s="62" t="n"/>
      <c r="E97" s="62" t="n"/>
      <c r="F97" s="62" t="n"/>
      <c r="G97" s="62" t="n"/>
      <c r="H97" s="62" t="n"/>
      <c r="I97" s="62" t="n"/>
      <c r="J97" s="62" t="n"/>
      <c r="K97" s="62" t="n"/>
    </row>
    <row r="98" ht="18" customHeight="1" s="55">
      <c r="A98" s="62" t="inlineStr">
        <is>
          <t>Tool / Function Authorization</t>
        </is>
      </c>
      <c r="B98" s="62" t="n"/>
      <c r="C98" s="62" t="n"/>
      <c r="D98" s="62" t="n"/>
      <c r="E98" s="62" t="n"/>
      <c r="F98" s="62" t="n"/>
      <c r="G98" s="62" t="n"/>
      <c r="H98" s="62" t="n"/>
      <c r="I98" s="62" t="n"/>
      <c r="J98" s="62" t="n"/>
      <c r="K98" s="62" t="n"/>
    </row>
    <row r="99" ht="31.5" customHeight="1" s="55">
      <c r="A99" s="62" t="inlineStr">
        <is>
          <t>Sub-Agent Spawn Limits</t>
        </is>
      </c>
      <c r="B99" s="62" t="inlineStr">
        <is>
          <t>Agent Governance</t>
        </is>
      </c>
      <c r="C99" s="62" t="inlineStr">
        <is>
          <t>Art. 14 Human Oversight</t>
        </is>
      </c>
      <c r="D99" s="62" t="inlineStr">
        <is>
          <t>A.7 AI Objectives</t>
        </is>
      </c>
      <c r="E99" s="62" t="inlineStr">
        <is>
          <t>Agent-specific tactics</t>
        </is>
      </c>
      <c r="F99" s="62" t="inlineStr">
        <is>
          <t>GOVERN 1.7; MANAGE 1.3</t>
        </is>
      </c>
      <c r="G99" s="62" t="n"/>
      <c r="H99" s="62" t="inlineStr">
        <is>
          <t>LLM06 Excessive Agency</t>
        </is>
      </c>
      <c r="I99" s="62" t="inlineStr">
        <is>
          <t>CC6.1, CC7.2</t>
        </is>
      </c>
      <c r="J99" s="62" t="n"/>
      <c r="K99" s="62" t="n"/>
    </row>
    <row r="100" ht="31.5" customHeight="1" s="55">
      <c r="A100" s="62" t="inlineStr">
        <is>
          <t>Autonomous Action Limits</t>
        </is>
      </c>
      <c r="B100" s="62" t="inlineStr">
        <is>
          <t>Autonomy Limits</t>
        </is>
      </c>
      <c r="C100" s="62" t="inlineStr">
        <is>
          <t>Art. 14(1-3) human oversight</t>
        </is>
      </c>
      <c r="D100" s="62" t="inlineStr">
        <is>
          <t>A.7.3 Objectives</t>
        </is>
      </c>
      <c r="E100" s="62" t="inlineStr">
        <is>
          <t>All agent tactics</t>
        </is>
      </c>
      <c r="F100" s="62" t="inlineStr">
        <is>
          <t>GOVERN 1.6; MANAGE 1.3</t>
        </is>
      </c>
      <c r="G100" s="62" t="n"/>
      <c r="H100" s="62" t="inlineStr">
        <is>
          <t>LLM06 Excessive Agency</t>
        </is>
      </c>
      <c r="I100" s="62" t="inlineStr">
        <is>
          <t>CC5.2, CC6.1</t>
        </is>
      </c>
      <c r="J100" s="62" t="n"/>
      <c r="K100" s="62" t="n"/>
    </row>
    <row r="101" ht="18" customHeight="1" s="55">
      <c r="A101" s="62" t="inlineStr">
        <is>
          <t>Agentic Boundary Controls</t>
        </is>
      </c>
      <c r="B101" s="62" t="n"/>
      <c r="C101" s="62" t="n"/>
      <c r="D101" s="62" t="n"/>
      <c r="E101" s="62" t="n"/>
      <c r="F101" s="62" t="n"/>
      <c r="G101" s="62" t="n"/>
      <c r="H101" s="62" t="n"/>
      <c r="I101" s="62" t="n"/>
      <c r="J101" s="62" t="n"/>
      <c r="K101" s="62" t="n"/>
    </row>
    <row r="102" ht="31.5" customHeight="1" s="55">
      <c r="A102" s="62" t="inlineStr">
        <is>
          <t>Shell / FS Sandbox</t>
        </is>
      </c>
      <c r="B102" s="62" t="inlineStr">
        <is>
          <t>Execution Isolation</t>
        </is>
      </c>
      <c r="C102" s="62" t="inlineStr">
        <is>
          <t>Art. 15(5) cybersecurity</t>
        </is>
      </c>
      <c r="D102" s="62" t="inlineStr">
        <is>
          <t>A.8.3 Protection</t>
        </is>
      </c>
      <c r="E102" s="62" t="inlineStr">
        <is>
          <t>Execution defense</t>
        </is>
      </c>
      <c r="F102" s="62" t="n"/>
      <c r="G102" s="62" t="inlineStr">
        <is>
          <t>PR.PS-2, PR.IR-1</t>
        </is>
      </c>
      <c r="H102" s="62" t="inlineStr">
        <is>
          <t>LLM06 Excessive Agency</t>
        </is>
      </c>
      <c r="I102" s="62" t="inlineStr">
        <is>
          <t>CC6.1, CC6.6</t>
        </is>
      </c>
      <c r="J102" s="62" t="n"/>
      <c r="K102" s="62" t="n"/>
    </row>
    <row r="104" ht="18" customHeight="1" s="55">
      <c r="A104" s="100" t="inlineStr">
        <is>
          <t>AI SUPPLY CHAIN</t>
        </is>
      </c>
    </row>
    <row r="105" ht="45.75" customHeight="1" s="55">
      <c r="A105" s="62" t="inlineStr">
        <is>
          <t>Model Provenance</t>
        </is>
      </c>
      <c r="B105" s="62" t="inlineStr">
        <is>
          <t>Model Security / Provenance</t>
        </is>
      </c>
      <c r="C105" s="62" t="inlineStr">
        <is>
          <t>Art. 11 documentation</t>
        </is>
      </c>
      <c r="D105" s="62" t="inlineStr">
        <is>
          <t>A.10 Third Party</t>
        </is>
      </c>
      <c r="E105" s="62" t="inlineStr">
        <is>
          <t>Supply Chain Compromise</t>
        </is>
      </c>
      <c r="F105" s="62" t="inlineStr">
        <is>
          <t>GOVERN 6.1, 6.2; MAP 3.4, 3.5</t>
        </is>
      </c>
      <c r="G105" s="62" t="inlineStr">
        <is>
          <t>GV.SC-4, GV.SC-7</t>
        </is>
      </c>
      <c r="H105" s="62" t="inlineStr">
        <is>
          <t>LLM03 Supply Chain; LLM04 Poisoning</t>
        </is>
      </c>
      <c r="I105" s="62" t="inlineStr">
        <is>
          <t>CC9.1, CC9.2</t>
        </is>
      </c>
      <c r="J105" s="62" t="n"/>
      <c r="K105" s="62" t="n"/>
    </row>
    <row r="106" ht="31.5" customHeight="1" s="55">
      <c r="A106" s="62" t="inlineStr">
        <is>
          <t>Model Version Pinning</t>
        </is>
      </c>
      <c r="B106" s="62" t="inlineStr">
        <is>
          <t>Configuration Management</t>
        </is>
      </c>
      <c r="C106" s="62" t="inlineStr">
        <is>
          <t>Art. 17 QMS</t>
        </is>
      </c>
      <c r="D106" s="62" t="inlineStr">
        <is>
          <t>A.9 AI Lifecycle</t>
        </is>
      </c>
      <c r="E106" s="62" t="n"/>
      <c r="F106" s="62" t="inlineStr">
        <is>
          <t>MANAGE 4.1</t>
        </is>
      </c>
      <c r="G106" s="62" t="inlineStr">
        <is>
          <t>PR.IP-3</t>
        </is>
      </c>
      <c r="H106" s="62" t="n"/>
      <c r="I106" s="62" t="inlineStr">
        <is>
          <t>CC8.1</t>
        </is>
      </c>
      <c r="J106" s="62" t="n"/>
      <c r="K106" s="62" t="n"/>
    </row>
    <row r="107" ht="45.75" customHeight="1" s="55">
      <c r="A107" s="62" t="inlineStr">
        <is>
          <t>Model Rollback Procedure</t>
        </is>
      </c>
      <c r="B107" s="62" t="n"/>
      <c r="C107" s="62" t="inlineStr">
        <is>
          <t>Art. 17 QMS; Art. 62 incident</t>
        </is>
      </c>
      <c r="D107" s="62" t="inlineStr">
        <is>
          <t>A.9 Lifecycle; A.8.4 Operation</t>
        </is>
      </c>
      <c r="E107" s="62" t="n"/>
      <c r="F107" s="62" t="inlineStr">
        <is>
          <t>MANAGE 4.1</t>
        </is>
      </c>
      <c r="G107" s="62" t="n"/>
      <c r="H107" s="62" t="n"/>
      <c r="I107" s="62" t="inlineStr">
        <is>
          <t>A1.2, CC8.1</t>
        </is>
      </c>
      <c r="J107" s="62" t="n"/>
      <c r="K107" s="62" t="n"/>
    </row>
    <row r="108" ht="18" customHeight="1" s="55">
      <c r="A108" s="62" t="inlineStr">
        <is>
          <t>Training Data Lineage</t>
        </is>
      </c>
      <c r="B108" s="62" t="n"/>
      <c r="C108" s="62" t="n"/>
      <c r="D108" s="62" t="n"/>
      <c r="E108" s="62" t="n"/>
      <c r="F108" s="62" t="n"/>
      <c r="G108" s="62" t="n"/>
      <c r="H108" s="62" t="n"/>
      <c r="I108" s="62" t="n"/>
      <c r="J108" s="62" t="n"/>
      <c r="K108" s="62" t="n"/>
    </row>
    <row r="109" ht="18" customHeight="1" s="55">
      <c r="A109" s="62" t="inlineStr">
        <is>
          <t>Training Data Opt-In</t>
        </is>
      </c>
      <c r="B109" s="62" t="n"/>
      <c r="C109" s="62" t="n"/>
      <c r="D109" s="62" t="n"/>
      <c r="E109" s="62" t="n"/>
      <c r="F109" s="62" t="n"/>
      <c r="G109" s="62" t="n"/>
      <c r="H109" s="62" t="n"/>
      <c r="I109" s="62" t="n"/>
      <c r="J109" s="62" t="n"/>
      <c r="K109" s="62" t="n"/>
    </row>
    <row r="110" ht="18" customHeight="1" s="55">
      <c r="A110" s="62" t="inlineStr">
        <is>
          <t>ML Pipeline Security</t>
        </is>
      </c>
      <c r="B110" s="62" t="n"/>
      <c r="C110" s="62" t="n"/>
      <c r="D110" s="62" t="n"/>
      <c r="E110" s="62" t="n"/>
      <c r="F110" s="62" t="n"/>
      <c r="G110" s="62" t="n"/>
      <c r="H110" s="62" t="n"/>
      <c r="I110" s="62" t="n"/>
      <c r="J110" s="62" t="n"/>
      <c r="K110" s="62" t="n"/>
    </row>
    <row r="111" ht="18" customHeight="1" s="55">
      <c r="A111" s="62" t="inlineStr">
        <is>
          <t>Model Integrity Verification</t>
        </is>
      </c>
      <c r="B111" s="62" t="n"/>
      <c r="C111" s="62" t="n"/>
      <c r="D111" s="62" t="n"/>
      <c r="E111" s="62" t="n"/>
      <c r="F111" s="62" t="n"/>
      <c r="G111" s="62" t="n"/>
      <c r="H111" s="62" t="n"/>
      <c r="I111" s="62" t="n"/>
      <c r="J111" s="62" t="n"/>
      <c r="K111" s="62" t="n"/>
    </row>
    <row r="112" ht="18" customHeight="1" s="55">
      <c r="A112" s="62" t="inlineStr">
        <is>
          <t>Third-Party Model Assessment</t>
        </is>
      </c>
      <c r="B112" s="62" t="n"/>
      <c r="C112" s="62" t="n"/>
      <c r="D112" s="62" t="n"/>
      <c r="E112" s="62" t="n"/>
      <c r="F112" s="62" t="n"/>
      <c r="G112" s="62" t="n"/>
      <c r="H112" s="62" t="n"/>
      <c r="I112" s="62" t="n"/>
      <c r="J112" s="62" t="n"/>
      <c r="K112" s="62" t="n"/>
    </row>
    <row r="113" ht="18" customHeight="1" s="55">
      <c r="A113" s="62" t="inlineStr">
        <is>
          <t>Plugin / Extension Validation</t>
        </is>
      </c>
      <c r="B113" s="62" t="n"/>
      <c r="C113" s="62" t="n"/>
      <c r="D113" s="62" t="n"/>
      <c r="E113" s="62" t="n"/>
      <c r="F113" s="62" t="n"/>
      <c r="G113" s="62" t="n"/>
      <c r="H113" s="62" t="n"/>
      <c r="I113" s="62" t="n"/>
      <c r="J113" s="62" t="n"/>
      <c r="K113" s="62" t="n"/>
    </row>
    <row r="114" ht="18" customHeight="1" s="55">
      <c r="A114" s="62" t="inlineStr">
        <is>
          <t>Vector Store Security</t>
        </is>
      </c>
      <c r="B114" s="62" t="n"/>
      <c r="C114" s="62" t="n"/>
      <c r="D114" s="62" t="n"/>
      <c r="E114" s="62" t="n"/>
      <c r="F114" s="62" t="n"/>
      <c r="G114" s="62" t="n"/>
      <c r="H114" s="62" t="n"/>
      <c r="I114" s="62" t="n"/>
      <c r="J114" s="62" t="n"/>
      <c r="K114" s="62" t="n"/>
    </row>
    <row r="115" ht="18" customHeight="1" s="55">
      <c r="A115" s="62" t="inlineStr">
        <is>
          <t>System Prompt Protection</t>
        </is>
      </c>
      <c r="B115" s="62" t="n"/>
      <c r="C115" s="62" t="n"/>
      <c r="D115" s="62" t="n"/>
      <c r="E115" s="62" t="n"/>
      <c r="F115" s="62" t="n"/>
      <c r="G115" s="62" t="n"/>
      <c r="H115" s="62" t="n"/>
      <c r="I115" s="62" t="n"/>
      <c r="J115" s="62" t="n"/>
      <c r="K115" s="62" t="n"/>
    </row>
    <row r="116" ht="18" customHeight="1" s="55">
      <c r="A116" s="62" t="inlineStr">
        <is>
          <t>Embedding Integrity</t>
        </is>
      </c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  <c r="K116" s="62" t="n"/>
    </row>
    <row r="117" ht="31.5" customHeight="1" s="55">
      <c r="A117" s="62" t="inlineStr">
        <is>
          <t>Agent Action Attestation</t>
        </is>
      </c>
      <c r="B117" s="62" t="inlineStr">
        <is>
          <t>Agent Security / Attestation</t>
        </is>
      </c>
      <c r="C117" s="62" t="n"/>
      <c r="D117" s="62" t="n"/>
      <c r="E117" s="62" t="n"/>
      <c r="F117" s="62" t="inlineStr">
        <is>
          <t>MANAGE 1.4</t>
        </is>
      </c>
      <c r="G117" s="62" t="inlineStr">
        <is>
          <t>DE.CM-1, PR.DS-6</t>
        </is>
      </c>
      <c r="H117" s="62" t="inlineStr">
        <is>
          <t>LLM06 Excessive Agency</t>
        </is>
      </c>
      <c r="I117" s="62" t="n"/>
      <c r="J117" s="62" t="n"/>
      <c r="K117" s="62" t="n"/>
    </row>
    <row r="119" ht="18" customHeight="1" s="55">
      <c r="A119" s="59" t="inlineStr">
        <is>
          <t>4. OWASP LLM Top 10 (2025) quick reference</t>
        </is>
      </c>
    </row>
    <row r="120" ht="18" customHeight="1" s="55">
      <c r="A120" s="61" t="inlineStr">
        <is>
          <t>ID</t>
        </is>
      </c>
      <c r="B120" s="61" t="inlineStr">
        <is>
          <t>Risk</t>
        </is>
      </c>
      <c r="C120" s="61" t="inlineStr">
        <is>
          <t>Key Guardrails</t>
        </is>
      </c>
      <c r="D120" s="61" t="inlineStr">
        <is>
          <t>Description</t>
        </is>
      </c>
      <c r="E120" s="61" t="n"/>
      <c r="F120" s="61" t="n"/>
      <c r="G120" s="61" t="n"/>
      <c r="H120" s="61" t="n"/>
      <c r="I120" s="61" t="n"/>
      <c r="J120" s="61" t="n"/>
      <c r="K120" s="61" t="n"/>
    </row>
    <row r="121" ht="45.75" customHeight="1" s="55">
      <c r="A121" s="62" t="inlineStr">
        <is>
          <t>LLM01</t>
        </is>
      </c>
      <c r="B121" s="62" t="inlineStr">
        <is>
          <t>Prompt Injection</t>
        </is>
      </c>
      <c r="C121" s="62" t="inlineStr">
        <is>
          <t>Input Validation, Content Safety</t>
        </is>
      </c>
      <c r="D121" s="62" t="inlineStr">
        <is>
          <t>Direct / indirect manipulation of prompts to bypass controls</t>
        </is>
      </c>
      <c r="E121" s="65" t="n"/>
      <c r="F121" s="65" t="n"/>
      <c r="G121" s="65" t="n"/>
      <c r="H121" s="65" t="n"/>
      <c r="I121" s="65" t="n"/>
      <c r="J121" s="65" t="n"/>
      <c r="K121" s="66" t="n"/>
    </row>
    <row r="122" ht="45.75" customHeight="1" s="55">
      <c r="A122" s="62" t="inlineStr">
        <is>
          <t>LLM02</t>
        </is>
      </c>
      <c r="B122" s="62" t="inlineStr">
        <is>
          <t>Sensitive Information</t>
        </is>
      </c>
      <c r="C122" s="62" t="inlineStr">
        <is>
          <t>DLP, PII Detection, Data Masking</t>
        </is>
      </c>
      <c r="D122" s="62" t="inlineStr">
        <is>
          <t>Leakage of PII, secrets, or confidential data</t>
        </is>
      </c>
      <c r="E122" s="65" t="n"/>
      <c r="F122" s="65" t="n"/>
      <c r="G122" s="65" t="n"/>
      <c r="H122" s="65" t="n"/>
      <c r="I122" s="65" t="n"/>
      <c r="J122" s="65" t="n"/>
      <c r="K122" s="66" t="n"/>
    </row>
    <row r="123" ht="60" customHeight="1" s="55">
      <c r="A123" s="62" t="inlineStr">
        <is>
          <t>LLM03</t>
        </is>
      </c>
      <c r="B123" s="62" t="inlineStr">
        <is>
          <t>Supply Chain</t>
        </is>
      </c>
      <c r="C123" s="62" t="inlineStr">
        <is>
          <t>Vendor Assessment, Tool Registration, Model Provenance</t>
        </is>
      </c>
      <c r="D123" s="62" t="inlineStr">
        <is>
          <t>Compromised models, training data, or pipelines</t>
        </is>
      </c>
      <c r="E123" s="65" t="n"/>
      <c r="F123" s="65" t="n"/>
      <c r="G123" s="65" t="n"/>
      <c r="H123" s="65" t="n"/>
      <c r="I123" s="65" t="n"/>
      <c r="J123" s="65" t="n"/>
      <c r="K123" s="66" t="n"/>
    </row>
    <row r="124" ht="73.5" customHeight="1" s="55">
      <c r="A124" s="62" t="inlineStr">
        <is>
          <t>LLM04</t>
        </is>
      </c>
      <c r="B124" s="62" t="inlineStr">
        <is>
          <t>Data &amp; Model Poisoning</t>
        </is>
      </c>
      <c r="C124" s="62" t="inlineStr">
        <is>
          <t>Vendor Assessment, Input Validation, Training Data Lineage</t>
        </is>
      </c>
      <c r="D124" s="62" t="inlineStr">
        <is>
          <t>Manipulation of training data to corrupt model</t>
        </is>
      </c>
      <c r="E124" s="65" t="n"/>
      <c r="F124" s="65" t="n"/>
      <c r="G124" s="65" t="n"/>
      <c r="H124" s="65" t="n"/>
      <c r="I124" s="65" t="n"/>
      <c r="J124" s="65" t="n"/>
      <c r="K124" s="66" t="n"/>
    </row>
    <row r="125" ht="45.75" customHeight="1" s="55">
      <c r="A125" s="62" t="inlineStr">
        <is>
          <t>LLM05</t>
        </is>
      </c>
      <c r="B125" s="62" t="inlineStr">
        <is>
          <t>Improper Output Handling</t>
        </is>
      </c>
      <c r="C125" s="62" t="inlineStr">
        <is>
          <t>Output Filtering, Content Safety</t>
        </is>
      </c>
      <c r="D125" s="62" t="inlineStr">
        <is>
          <t>Unsafe handling of model outputs</t>
        </is>
      </c>
      <c r="E125" s="65" t="n"/>
      <c r="F125" s="65" t="n"/>
      <c r="G125" s="65" t="n"/>
      <c r="H125" s="65" t="n"/>
      <c r="I125" s="65" t="n"/>
      <c r="J125" s="65" t="n"/>
      <c r="K125" s="66" t="n"/>
    </row>
    <row r="126" ht="73.5" customHeight="1" s="55">
      <c r="A126" s="62" t="inlineStr">
        <is>
          <t>LLM06</t>
        </is>
      </c>
      <c r="B126" s="62" t="inlineStr">
        <is>
          <t>Excessive Agency</t>
        </is>
      </c>
      <c r="C126" s="62" t="inlineStr">
        <is>
          <t>Intent Validation, Service Account Scoping, Tool Authorization</t>
        </is>
      </c>
      <c r="D126" s="62" t="inlineStr">
        <is>
          <t>Uncontrolled actions by AI agents</t>
        </is>
      </c>
      <c r="E126" s="65" t="n"/>
      <c r="F126" s="65" t="n"/>
      <c r="G126" s="65" t="n"/>
      <c r="H126" s="65" t="n"/>
      <c r="I126" s="65" t="n"/>
      <c r="J126" s="65" t="n"/>
      <c r="K126" s="66" t="n"/>
    </row>
    <row r="127" ht="45.75" customHeight="1" s="55">
      <c r="A127" s="62" t="inlineStr">
        <is>
          <t>LLM07</t>
        </is>
      </c>
      <c r="B127" s="62" t="inlineStr">
        <is>
          <t>System Prompt Leakage</t>
        </is>
      </c>
      <c r="C127" s="62" t="inlineStr">
        <is>
          <t>Input Validation, System Prompt Protection</t>
        </is>
      </c>
      <c r="D127" s="62" t="inlineStr">
        <is>
          <t>Exposure of system prompts or internal instructions</t>
        </is>
      </c>
      <c r="E127" s="65" t="n"/>
      <c r="F127" s="65" t="n"/>
      <c r="G127" s="65" t="n"/>
      <c r="H127" s="65" t="n"/>
      <c r="I127" s="65" t="n"/>
      <c r="J127" s="65" t="n"/>
      <c r="K127" s="66" t="n"/>
    </row>
    <row r="128" ht="45.75" customHeight="1" s="55">
      <c r="A128" s="62" t="inlineStr">
        <is>
          <t>LLM08</t>
        </is>
      </c>
      <c r="B128" s="62" t="inlineStr">
        <is>
          <t>Vector &amp; Embedding Weaknesses</t>
        </is>
      </c>
      <c r="C128" s="62" t="inlineStr">
        <is>
          <t>Data Classification, Vector Store Security</t>
        </is>
      </c>
      <c r="D128" s="62" t="inlineStr">
        <is>
          <t>RAG / embedding vulnerabilities</t>
        </is>
      </c>
      <c r="E128" s="65" t="n"/>
      <c r="F128" s="65" t="n"/>
      <c r="G128" s="65" t="n"/>
      <c r="H128" s="65" t="n"/>
      <c r="I128" s="65" t="n"/>
      <c r="J128" s="65" t="n"/>
      <c r="K128" s="66" t="n"/>
    </row>
    <row r="129" ht="73.5" customHeight="1" s="55">
      <c r="A129" s="62" t="inlineStr">
        <is>
          <t>LLM09</t>
        </is>
      </c>
      <c r="B129" s="62" t="inlineStr">
        <is>
          <t>Misinformation</t>
        </is>
      </c>
      <c r="C129" s="62" t="inlineStr">
        <is>
          <t>Output Filtering, Performance Monitoring, Hallucination Detection</t>
        </is>
      </c>
      <c r="D129" s="62" t="inlineStr">
        <is>
          <t>Hallucinations, false or misleading information</t>
        </is>
      </c>
      <c r="E129" s="65" t="n"/>
      <c r="F129" s="65" t="n"/>
      <c r="G129" s="65" t="n"/>
      <c r="H129" s="65" t="n"/>
      <c r="I129" s="65" t="n"/>
      <c r="J129" s="65" t="n"/>
      <c r="K129" s="66" t="n"/>
    </row>
    <row r="130" ht="60" customHeight="1" s="55">
      <c r="A130" s="62" t="inlineStr">
        <is>
          <t>LLM10</t>
        </is>
      </c>
      <c r="B130" s="62" t="inlineStr">
        <is>
          <t>Unbounded Consumption</t>
        </is>
      </c>
      <c r="C130" s="62" t="inlineStr">
        <is>
          <t>Rate Limiting, Usage Analytics, Cost Ceilings</t>
        </is>
      </c>
      <c r="D130" s="62" t="inlineStr">
        <is>
          <t>Resource exhaustion; cost abuse</t>
        </is>
      </c>
      <c r="E130" s="65" t="n"/>
      <c r="F130" s="65" t="n"/>
      <c r="G130" s="65" t="n"/>
      <c r="H130" s="65" t="n"/>
      <c r="I130" s="65" t="n"/>
      <c r="J130" s="65" t="n"/>
      <c r="K130" s="66" t="n"/>
    </row>
    <row r="132" ht="18" customHeight="1" s="55">
      <c r="A132" s="59" t="inlineStr">
        <is>
          <t>5. Framework usage notes</t>
        </is>
      </c>
    </row>
    <row r="133" ht="18" customHeight="1" s="55">
      <c r="A133" s="62" t="inlineStr">
        <is>
          <t>CSA AI Safety</t>
        </is>
      </c>
      <c r="B133" s="62" t="inlineStr">
        <is>
          <t>Cloud-specific guidance; complements CSA CCM</t>
        </is>
      </c>
      <c r="C133" s="65" t="n"/>
      <c r="D133" s="65" t="n"/>
      <c r="E133" s="65" t="n"/>
      <c r="F133" s="65" t="n"/>
      <c r="G133" s="65" t="n"/>
      <c r="H133" s="65" t="n"/>
      <c r="I133" s="65" t="n"/>
      <c r="J133" s="65" t="n"/>
      <c r="K133" s="66" t="n"/>
    </row>
    <row r="134" ht="18" customHeight="1" s="55">
      <c r="A134" s="62" t="inlineStr">
        <is>
          <t>EU AI Act</t>
        </is>
      </c>
      <c r="B134" s="62" t="inlineStr">
        <is>
          <t>Mandatory for high-risk AI in EU market; Articles 9-17 define technical requirements; timelines in §2</t>
        </is>
      </c>
      <c r="C134" s="65" t="n"/>
      <c r="D134" s="65" t="n"/>
      <c r="E134" s="65" t="n"/>
      <c r="F134" s="65" t="n"/>
      <c r="G134" s="65" t="n"/>
      <c r="H134" s="65" t="n"/>
      <c r="I134" s="65" t="n"/>
      <c r="J134" s="65" t="n"/>
      <c r="K134" s="66" t="n"/>
    </row>
    <row r="135" ht="18" customHeight="1" s="55">
      <c r="A135" s="62" t="inlineStr">
        <is>
          <t>ISO 42001</t>
        </is>
      </c>
      <c r="B135" s="62" t="inlineStr">
        <is>
          <t>Certifiable AI management system standard; Annex A controls are normative</t>
        </is>
      </c>
      <c r="C135" s="65" t="n"/>
      <c r="D135" s="65" t="n"/>
      <c r="E135" s="65" t="n"/>
      <c r="F135" s="65" t="n"/>
      <c r="G135" s="65" t="n"/>
      <c r="H135" s="65" t="n"/>
      <c r="I135" s="65" t="n"/>
      <c r="J135" s="65" t="n"/>
      <c r="K135" s="66" t="n"/>
    </row>
    <row r="136" ht="18" customHeight="1" s="55">
      <c r="A136" s="62" t="inlineStr">
        <is>
          <t>MITRE ATLAS</t>
        </is>
      </c>
      <c r="B136" s="62" t="inlineStr">
        <is>
          <t>Adversarial techniques for ML; use for red team planning and threat modeling; Oct 2025 added 14 agentic AI techniques</t>
        </is>
      </c>
      <c r="C136" s="65" t="n"/>
      <c r="D136" s="65" t="n"/>
      <c r="E136" s="65" t="n"/>
      <c r="F136" s="65" t="n"/>
      <c r="G136" s="65" t="n"/>
      <c r="H136" s="65" t="n"/>
      <c r="I136" s="65" t="n"/>
      <c r="J136" s="65" t="n"/>
      <c r="K136" s="66" t="n"/>
    </row>
    <row r="137" ht="18" customHeight="1" s="55">
      <c r="A137" s="62" t="inlineStr">
        <is>
          <t>NIST AI RMF 1.0 + 600-1</t>
        </is>
      </c>
      <c r="B137" s="62" t="inlineStr">
        <is>
          <t>Core AI risk management + GenAI Profile (200+ additional actions)</t>
        </is>
      </c>
      <c r="C137" s="65" t="n"/>
      <c r="D137" s="65" t="n"/>
      <c r="E137" s="65" t="n"/>
      <c r="F137" s="65" t="n"/>
      <c r="G137" s="65" t="n"/>
      <c r="H137" s="65" t="n"/>
      <c r="I137" s="65" t="n"/>
      <c r="J137" s="65" t="n"/>
      <c r="K137" s="66" t="n"/>
    </row>
    <row r="138" ht="18" customHeight="1" s="55">
      <c r="A138" s="62" t="inlineStr">
        <is>
          <t>NIST CSF 2.0 + IR 8596</t>
        </is>
      </c>
      <c r="B138" s="62" t="inlineStr">
        <is>
          <t>Cross-reference with cybersecurity controls; AI-specific profile</t>
        </is>
      </c>
      <c r="C138" s="65" t="n"/>
      <c r="D138" s="65" t="n"/>
      <c r="E138" s="65" t="n"/>
      <c r="F138" s="65" t="n"/>
      <c r="G138" s="65" t="n"/>
      <c r="H138" s="65" t="n"/>
      <c r="I138" s="65" t="n"/>
      <c r="J138" s="65" t="n"/>
      <c r="K138" s="66" t="n"/>
    </row>
    <row r="139" ht="18" customHeight="1" s="55">
      <c r="A139" s="62" t="inlineStr">
        <is>
          <t>OWASP LLM Top 10</t>
        </is>
      </c>
      <c r="B139" s="62" t="inlineStr">
        <is>
          <t>Application security risks; maps directly to runtime guardrails</t>
        </is>
      </c>
      <c r="C139" s="65" t="n"/>
      <c r="D139" s="65" t="n"/>
      <c r="E139" s="65" t="n"/>
      <c r="F139" s="65" t="n"/>
      <c r="G139" s="65" t="n"/>
      <c r="H139" s="65" t="n"/>
      <c r="I139" s="65" t="n"/>
      <c r="J139" s="65" t="n"/>
      <c r="K139" s="66" t="n"/>
    </row>
    <row r="140" ht="18" customHeight="1" s="55">
      <c r="A140" s="62" t="inlineStr">
        <is>
          <t>SOC 2</t>
        </is>
      </c>
      <c r="B140" s="62" t="inlineStr">
        <is>
          <t>Trust Service Criteria for vendor assessments</t>
        </is>
      </c>
      <c r="C140" s="65" t="n"/>
      <c r="D140" s="65" t="n"/>
      <c r="E140" s="65" t="n"/>
      <c r="F140" s="65" t="n"/>
      <c r="G140" s="65" t="n"/>
      <c r="H140" s="65" t="n"/>
      <c r="I140" s="65" t="n"/>
      <c r="J140" s="65" t="n"/>
      <c r="K140" s="66" t="n"/>
    </row>
    <row r="141" ht="18" customHeight="1" s="55">
      <c r="A141" s="62" t="inlineStr">
        <is>
          <t>US state laws</t>
        </is>
      </c>
      <c r="B141" s="62" t="inlineStr">
        <is>
          <t>Colorado AI Act (Feb 2026), California AB 2013 (2024), NYC AEDT (active), Texas TRAIGA (evolving)</t>
        </is>
      </c>
      <c r="C141" s="65" t="n"/>
      <c r="D141" s="65" t="n"/>
      <c r="E141" s="65" t="n"/>
      <c r="F141" s="65" t="n"/>
      <c r="G141" s="65" t="n"/>
      <c r="H141" s="65" t="n"/>
      <c r="I141" s="65" t="n"/>
      <c r="J141" s="65" t="n"/>
      <c r="K141" s="66" t="n"/>
    </row>
    <row r="142" ht="18" customHeight="1" s="55">
      <c r="A142" s="62" t="inlineStr">
        <is>
          <t>UK AI Regulation</t>
        </is>
      </c>
      <c r="B142" s="62" t="inlineStr">
        <is>
          <t>Principles-based; regulator-led; no central AI act as of 2026</t>
        </is>
      </c>
      <c r="C142" s="65" t="n"/>
      <c r="D142" s="65" t="n"/>
      <c r="E142" s="65" t="n"/>
      <c r="F142" s="65" t="n"/>
      <c r="G142" s="65" t="n"/>
      <c r="H142" s="65" t="n"/>
      <c r="I142" s="65" t="n"/>
      <c r="J142" s="65" t="n"/>
      <c r="K142" s="66" t="n"/>
    </row>
    <row r="143" ht="18" customHeight="1" s="55">
      <c r="A143" s="62" t="inlineStr">
        <is>
          <t>Industry-specific</t>
        </is>
      </c>
      <c r="B143" s="62" t="inlineStr">
        <is>
          <t>NAIC (insurance), FFIEC (banking), HIPAA (healthcare), EEOC (employment), FTC (consumer protection)</t>
        </is>
      </c>
      <c r="C143" s="65" t="n"/>
      <c r="D143" s="65" t="n"/>
      <c r="E143" s="65" t="n"/>
      <c r="F143" s="65" t="n"/>
      <c r="G143" s="65" t="n"/>
      <c r="H143" s="65" t="n"/>
      <c r="I143" s="65" t="n"/>
      <c r="J143" s="65" t="n"/>
      <c r="K143" s="66" t="n"/>
    </row>
  </sheetData>
  <mergeCells count="63">
    <mergeCell ref="C16:K16"/>
    <mergeCell ref="B137:K137"/>
    <mergeCell ref="C25:K25"/>
    <mergeCell ref="C10:K10"/>
    <mergeCell ref="A39:K39"/>
    <mergeCell ref="B143:K143"/>
    <mergeCell ref="C22:K22"/>
    <mergeCell ref="C9:K9"/>
    <mergeCell ref="B139:K139"/>
    <mergeCell ref="C31:K31"/>
    <mergeCell ref="D128:K128"/>
    <mergeCell ref="B133:K133"/>
    <mergeCell ref="A132:K132"/>
    <mergeCell ref="A1:K1"/>
    <mergeCell ref="C12:K12"/>
    <mergeCell ref="A70:K70"/>
    <mergeCell ref="A79:K79"/>
    <mergeCell ref="C21:K21"/>
    <mergeCell ref="A119:K119"/>
    <mergeCell ref="B142:K142"/>
    <mergeCell ref="C11:K11"/>
    <mergeCell ref="C27:K27"/>
    <mergeCell ref="D124:K124"/>
    <mergeCell ref="C36:K36"/>
    <mergeCell ref="B135:K135"/>
    <mergeCell ref="B138:K138"/>
    <mergeCell ref="C17:K17"/>
    <mergeCell ref="C23:K23"/>
    <mergeCell ref="C8:K8"/>
    <mergeCell ref="B141:K141"/>
    <mergeCell ref="D126:K126"/>
    <mergeCell ref="B134:K134"/>
    <mergeCell ref="C32:K32"/>
    <mergeCell ref="C7:K7"/>
    <mergeCell ref="B140:K140"/>
    <mergeCell ref="A3:K3"/>
    <mergeCell ref="C19:K19"/>
    <mergeCell ref="A104:K104"/>
    <mergeCell ref="D125:K125"/>
    <mergeCell ref="C13:K13"/>
    <mergeCell ref="C18:K18"/>
    <mergeCell ref="A42:K42"/>
    <mergeCell ref="D122:K122"/>
    <mergeCell ref="A5:K5"/>
    <mergeCell ref="C34:K34"/>
    <mergeCell ref="B136:K136"/>
    <mergeCell ref="C24:K24"/>
    <mergeCell ref="D121:K121"/>
    <mergeCell ref="A91:K91"/>
    <mergeCell ref="C15:K15"/>
    <mergeCell ref="C33:K33"/>
    <mergeCell ref="D127:K127"/>
    <mergeCell ref="D130:K130"/>
    <mergeCell ref="A29:K29"/>
    <mergeCell ref="C14:K14"/>
    <mergeCell ref="A38:K38"/>
    <mergeCell ref="A63:K63"/>
    <mergeCell ref="A52:K52"/>
    <mergeCell ref="D129:K129"/>
    <mergeCell ref="C26:K26"/>
    <mergeCell ref="D123:K123"/>
    <mergeCell ref="C35:K35"/>
    <mergeCell ref="C20:K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C43" activeCellId="0" sqref="C43"/>
    </sheetView>
  </sheetViews>
  <sheetFormatPr baseColWidth="8" defaultColWidth="8.83203125" defaultRowHeight="15" customHeight="0" zeroHeight="0" outlineLevelRow="0"/>
  <cols>
    <col width="36" customWidth="1" style="54" min="1" max="1"/>
    <col width="40" customWidth="1" style="54" min="2" max="2"/>
    <col width="22" customWidth="1" style="54" min="3" max="3"/>
    <col width="28" customWidth="1" style="54" min="4" max="4"/>
    <col width="14" customWidth="1" style="54" min="5" max="8"/>
  </cols>
  <sheetData>
    <row r="1" ht="25.5" customHeight="1" s="55">
      <c r="A1" s="56" t="inlineStr">
        <is>
          <t>AI Security Program Metrics</t>
        </is>
      </c>
    </row>
    <row r="3" ht="18" customHeight="1" s="55">
      <c r="A3" s="60" t="inlineStr">
        <is>
          <t>KPIs, SLOs, and measurement framework for AI security governance effectiveness. Customize targets to your maturity stage.</t>
        </is>
      </c>
    </row>
    <row r="5" ht="18" customHeight="1" s="55">
      <c r="A5" s="59" t="inlineStr">
        <is>
          <t>1. Metrics overview</t>
        </is>
      </c>
    </row>
    <row r="6" ht="18" customHeight="1" s="55">
      <c r="A6" s="60" t="inlineStr">
        <is>
          <t>Three layers: KPIs measure program health, SLOs define performance commitments, compliance metrics satisfy framework requirements.</t>
        </is>
      </c>
    </row>
    <row r="8" ht="18" customHeight="1" s="55">
      <c r="A8" s="59" t="inlineStr">
        <is>
          <t>2. Key performance indicators (KPIs)</t>
        </is>
      </c>
    </row>
    <row r="9" ht="18" customHeight="1" s="55">
      <c r="A9" s="61" t="inlineStr">
        <is>
          <t>KPI</t>
        </is>
      </c>
      <c r="B9" s="61" t="inlineStr">
        <is>
          <t>Description</t>
        </is>
      </c>
      <c r="C9" s="61" t="inlineStr">
        <is>
          <t>Calculation</t>
        </is>
      </c>
      <c r="D9" s="61" t="inlineStr">
        <is>
          <t>Data Source</t>
        </is>
      </c>
      <c r="E9" s="61" t="inlineStr">
        <is>
          <t>Frequency</t>
        </is>
      </c>
      <c r="F9" s="61" t="n"/>
      <c r="G9" s="61" t="n"/>
      <c r="H9" s="61" t="n"/>
    </row>
    <row r="10" ht="31.5" customHeight="1" s="55">
      <c r="A10" s="71" t="inlineStr">
        <is>
          <t>Tool Inventory Coverage</t>
        </is>
      </c>
      <c r="B10" s="62" t="inlineStr">
        <is>
          <t>% of AI tools in registry vs. discovered</t>
        </is>
      </c>
      <c r="C10" s="62" t="inlineStr">
        <is>
          <t>(Registered / Discovered) × 100</t>
        </is>
      </c>
      <c r="D10" s="62" t="inlineStr">
        <is>
          <t>Tool Registry + Shadow AI Discovery</t>
        </is>
      </c>
      <c r="E10" s="62" t="inlineStr">
        <is>
          <t>Weekly</t>
        </is>
      </c>
      <c r="F10" s="62" t="n"/>
      <c r="G10" s="62" t="n"/>
      <c r="H10" s="62" t="n"/>
    </row>
    <row r="11" ht="31.5" customHeight="1" s="55">
      <c r="A11" s="76" t="inlineStr">
        <is>
          <t>Agent Inventory Coverage</t>
        </is>
      </c>
      <c r="B11" s="62" t="inlineStr">
        <is>
          <t>% of AI agents registered vs. discovered</t>
        </is>
      </c>
      <c r="C11" s="62" t="inlineStr">
        <is>
          <t>(Registered Agents / Discovered Agents) × 100</t>
        </is>
      </c>
      <c r="D11" s="62" t="inlineStr">
        <is>
          <t>Agent Registry + Discovery</t>
        </is>
      </c>
      <c r="E11" s="62" t="inlineStr">
        <is>
          <t>Weekly</t>
        </is>
      </c>
      <c r="F11" s="62" t="n"/>
      <c r="G11" s="62" t="n"/>
      <c r="H11" s="62" t="n"/>
    </row>
    <row r="12" ht="18" customHeight="1" s="55">
      <c r="A12" s="71" t="inlineStr">
        <is>
          <t>Review Completion Rate</t>
        </is>
      </c>
      <c r="B12" s="62" t="inlineStr">
        <is>
          <t>% of reviews completed on schedule</t>
        </is>
      </c>
      <c r="C12" s="62" t="inlineStr">
        <is>
          <t>(On-Time / Due) × 100</t>
        </is>
      </c>
      <c r="D12" s="62" t="inlineStr">
        <is>
          <t>Governance tracker</t>
        </is>
      </c>
      <c r="E12" s="62" t="inlineStr">
        <is>
          <t>Monthly</t>
        </is>
      </c>
      <c r="F12" s="62" t="n"/>
      <c r="G12" s="62" t="n"/>
      <c r="H12" s="62" t="n"/>
    </row>
    <row r="13" ht="31.5" customHeight="1" s="55">
      <c r="A13" s="71" t="inlineStr">
        <is>
          <t>Guardrail Verification Rate</t>
        </is>
      </c>
      <c r="B13" s="62" t="inlineStr">
        <is>
          <t>% of tools with required guardrails verified</t>
        </is>
      </c>
      <c r="C13" s="62" t="inlineStr">
        <is>
          <t>(Verified / Active) × 100</t>
        </is>
      </c>
      <c r="D13" s="62" t="inlineStr">
        <is>
          <t>Guardrail Checklist</t>
        </is>
      </c>
      <c r="E13" s="62" t="inlineStr">
        <is>
          <t>Monthly</t>
        </is>
      </c>
      <c r="F13" s="62" t="n"/>
      <c r="G13" s="62" t="n"/>
      <c r="H13" s="62" t="n"/>
    </row>
    <row r="14" ht="31.5" customHeight="1" s="55">
      <c r="A14" s="71" t="inlineStr">
        <is>
          <t>Mean Time to Approval</t>
        </is>
      </c>
      <c r="B14" s="62" t="inlineStr">
        <is>
          <t>Average days from request to decision</t>
        </is>
      </c>
      <c r="C14" s="62" t="inlineStr">
        <is>
          <t>Sum(Decision - Request) / Count</t>
        </is>
      </c>
      <c r="D14" s="62" t="inlineStr">
        <is>
          <t>Intake Form timestamps</t>
        </is>
      </c>
      <c r="E14" s="62" t="inlineStr">
        <is>
          <t>Monthly</t>
        </is>
      </c>
      <c r="F14" s="62" t="n"/>
      <c r="G14" s="62" t="n"/>
      <c r="H14" s="62" t="n"/>
    </row>
    <row r="15" ht="31.5" customHeight="1" s="55">
      <c r="A15" s="71" t="inlineStr">
        <is>
          <t>Exception Rate</t>
        </is>
      </c>
      <c r="B15" s="62" t="inlineStr">
        <is>
          <t>% of tools operating under exception</t>
        </is>
      </c>
      <c r="C15" s="62" t="inlineStr">
        <is>
          <t>(Exception / Active) × 100</t>
        </is>
      </c>
      <c r="D15" s="62" t="inlineStr">
        <is>
          <t>Exception Tracker</t>
        </is>
      </c>
      <c r="E15" s="62" t="inlineStr">
        <is>
          <t>Monthly</t>
        </is>
      </c>
      <c r="F15" s="62" t="n"/>
      <c r="G15" s="62" t="n"/>
      <c r="H15" s="62" t="n"/>
    </row>
    <row r="16" ht="31.5" customHeight="1" s="55">
      <c r="A16" s="71" t="inlineStr">
        <is>
          <t>Non-Compliance Rate</t>
        </is>
      </c>
      <c r="B16" s="62" t="inlineStr">
        <is>
          <t>% of tools with failed guardrails</t>
        </is>
      </c>
      <c r="C16" s="62" t="inlineStr">
        <is>
          <t>(Non-Compliant / Active) × 100</t>
        </is>
      </c>
      <c r="D16" s="62" t="inlineStr">
        <is>
          <t>Guardrail Checklist</t>
        </is>
      </c>
      <c r="E16" s="62" t="inlineStr">
        <is>
          <t>Monthly</t>
        </is>
      </c>
      <c r="F16" s="62" t="n"/>
      <c r="G16" s="62" t="n"/>
      <c r="H16" s="62" t="n"/>
    </row>
    <row r="17" ht="18" customHeight="1" s="55">
      <c r="A17" s="73" t="inlineStr">
        <is>
          <t>Shadow AI Detection Rate</t>
        </is>
      </c>
      <c r="B17" s="62" t="inlineStr">
        <is>
          <t>New unauthorized tools discovered per period</t>
        </is>
      </c>
      <c r="C17" s="62" t="inlineStr">
        <is>
          <t>Count of new discoveries</t>
        </is>
      </c>
      <c r="D17" s="62" t="inlineStr">
        <is>
          <t>Shadow AI Discovery</t>
        </is>
      </c>
      <c r="E17" s="62" t="inlineStr">
        <is>
          <t>Weekly</t>
        </is>
      </c>
      <c r="F17" s="62" t="n"/>
      <c r="G17" s="62" t="n"/>
      <c r="H17" s="62" t="n"/>
    </row>
    <row r="18" ht="31.5" customHeight="1" s="55">
      <c r="A18" s="74" t="inlineStr">
        <is>
          <t>Incident Rate (all AI)</t>
        </is>
      </c>
      <c r="B18" s="62" t="inlineStr">
        <is>
          <t>Security incidents involving AI tools</t>
        </is>
      </c>
      <c r="C18" s="62" t="inlineStr">
        <is>
          <t>Count of AI-related incidents</t>
        </is>
      </c>
      <c r="D18" s="62" t="inlineStr">
        <is>
          <t>SIEM / IR</t>
        </is>
      </c>
      <c r="E18" s="62" t="inlineStr">
        <is>
          <t>Monthly</t>
        </is>
      </c>
      <c r="F18" s="62" t="n"/>
      <c r="G18" s="62" t="n"/>
      <c r="H18" s="62" t="n"/>
    </row>
    <row r="19" ht="31.5" customHeight="1" s="55">
      <c r="A19" s="74" t="inlineStr">
        <is>
          <t>Agent Incident Rate</t>
        </is>
      </c>
      <c r="B19" s="62" t="inlineStr">
        <is>
          <t>Incidents involving AI agents per 100 active agents</t>
        </is>
      </c>
      <c r="C19" s="62" t="inlineStr">
        <is>
          <t>Count / (Active Agents / 100)</t>
        </is>
      </c>
      <c r="D19" s="62" t="inlineStr">
        <is>
          <t>SIEM / IR</t>
        </is>
      </c>
      <c r="E19" s="62" t="inlineStr">
        <is>
          <t>Monthly</t>
        </is>
      </c>
      <c r="F19" s="62" t="n"/>
      <c r="G19" s="62" t="n"/>
      <c r="H19" s="62" t="n"/>
    </row>
    <row r="20" ht="31.5" customHeight="1" s="55">
      <c r="A20" s="72" t="inlineStr">
        <is>
          <t>Prompt Injection Block Rate (new)</t>
        </is>
      </c>
      <c r="B20" s="62" t="inlineStr">
        <is>
          <t>% of prompt-injection attempts blocked on test corpus</t>
        </is>
      </c>
      <c r="C20" s="62" t="inlineStr">
        <is>
          <t>(Blocked / Attempted) × 100</t>
        </is>
      </c>
      <c r="D20" s="62" t="inlineStr">
        <is>
          <t>Runtime guardrails + red team</t>
        </is>
      </c>
      <c r="E20" s="62" t="inlineStr">
        <is>
          <t>Monthly</t>
        </is>
      </c>
      <c r="F20" s="62" t="n"/>
      <c r="G20" s="62" t="n"/>
      <c r="H20" s="62" t="n"/>
    </row>
    <row r="21" ht="31.5" customHeight="1" s="55">
      <c r="A21" s="74" t="inlineStr">
        <is>
          <t>Hallucination Rate (new)</t>
        </is>
      </c>
      <c r="B21" s="62" t="inlineStr">
        <is>
          <t>Hallucination score on eval suite</t>
        </is>
      </c>
      <c r="C21" s="62" t="inlineStr">
        <is>
          <t>Sum(hallucination score) / Sample count</t>
        </is>
      </c>
      <c r="D21" s="62" t="inlineStr">
        <is>
          <t>Eval platform</t>
        </is>
      </c>
      <c r="E21" s="62" t="inlineStr">
        <is>
          <t>Monthly</t>
        </is>
      </c>
      <c r="F21" s="62" t="n"/>
      <c r="G21" s="62" t="n"/>
      <c r="H21" s="62" t="n"/>
    </row>
    <row r="22" ht="18" customHeight="1" s="55">
      <c r="A22" s="74" t="inlineStr">
        <is>
          <t>Cost per Request (new)</t>
        </is>
      </c>
      <c r="B22" s="62" t="inlineStr">
        <is>
          <t>Mean cost per AI request; detect cost abuse</t>
        </is>
      </c>
      <c r="C22" s="62" t="inlineStr">
        <is>
          <t>Sum(cost) / Count</t>
        </is>
      </c>
      <c r="D22" s="62" t="inlineStr">
        <is>
          <t>LLM gateway / billing</t>
        </is>
      </c>
      <c r="E22" s="62" t="inlineStr">
        <is>
          <t>Weekly</t>
        </is>
      </c>
      <c r="F22" s="62" t="n"/>
      <c r="G22" s="62" t="n"/>
      <c r="H22" s="62" t="n"/>
    </row>
    <row r="23" ht="31.5" customHeight="1" s="55">
      <c r="A23" s="76" t="inlineStr">
        <is>
          <t>Agent Authorization Failure Rate (new)</t>
        </is>
      </c>
      <c r="B23" s="62" t="inlineStr">
        <is>
          <t>% of agent tool-call attempts rejected</t>
        </is>
      </c>
      <c r="C23" s="62" t="inlineStr">
        <is>
          <t>(Rejected / Attempted) × 100</t>
        </is>
      </c>
      <c r="D23" s="62" t="inlineStr">
        <is>
          <t>Agent audit logs</t>
        </is>
      </c>
      <c r="E23" s="62" t="inlineStr">
        <is>
          <t>Weekly</t>
        </is>
      </c>
      <c r="F23" s="62" t="n"/>
      <c r="G23" s="62" t="n"/>
      <c r="H23" s="62" t="n"/>
    </row>
    <row r="24" ht="31.5" customHeight="1" s="55">
      <c r="A24" s="77" t="inlineStr">
        <is>
          <t>MCP Vulnerabilities Detected (new)</t>
        </is>
      </c>
      <c r="B24" s="62" t="inlineStr">
        <is>
          <t>Count of MCP-server CVEs or security findings</t>
        </is>
      </c>
      <c r="C24" s="62" t="inlineStr">
        <is>
          <t>Count per period</t>
        </is>
      </c>
      <c r="D24" s="62" t="inlineStr">
        <is>
          <t>MCP scanner</t>
        </is>
      </c>
      <c r="E24" s="62" t="inlineStr">
        <is>
          <t>Monthly</t>
        </is>
      </c>
      <c r="F24" s="62" t="n"/>
      <c r="G24" s="62" t="n"/>
      <c r="H24" s="62" t="n"/>
    </row>
    <row r="25" ht="18" customHeight="1" s="55">
      <c r="A25" s="72" t="inlineStr">
        <is>
          <t>Red Team Test Pass Rate (new)</t>
        </is>
      </c>
      <c r="B25" s="62" t="inlineStr">
        <is>
          <t>% of scheduled adversarial tests passing</t>
        </is>
      </c>
      <c r="C25" s="62" t="inlineStr">
        <is>
          <t>(Passed / Total) × 100</t>
        </is>
      </c>
      <c r="D25" s="62" t="inlineStr">
        <is>
          <t>Red team platform</t>
        </is>
      </c>
      <c r="E25" s="62" t="inlineStr">
        <is>
          <t>Monthly</t>
        </is>
      </c>
      <c r="F25" s="62" t="n"/>
      <c r="G25" s="62" t="n"/>
      <c r="H25" s="62" t="n"/>
    </row>
    <row r="26" ht="31.5" customHeight="1" s="55">
      <c r="A26" s="77" t="inlineStr">
        <is>
          <t>Model Version Currency (new)</t>
        </is>
      </c>
      <c r="B26" s="62" t="inlineStr">
        <is>
          <t>% of production agents on latest approved version</t>
        </is>
      </c>
      <c r="C26" s="62" t="inlineStr">
        <is>
          <t>(Current / Total) × 100</t>
        </is>
      </c>
      <c r="D26" s="62" t="inlineStr">
        <is>
          <t>Model registry</t>
        </is>
      </c>
      <c r="E26" s="62" t="inlineStr">
        <is>
          <t>Weekly</t>
        </is>
      </c>
      <c r="F26" s="62" t="n"/>
      <c r="G26" s="62" t="n"/>
      <c r="H26" s="62" t="n"/>
    </row>
    <row r="27" ht="31.5" customHeight="1" s="55">
      <c r="A27" s="76" t="inlineStr">
        <is>
          <t>Autonomous Action Rate</t>
        </is>
      </c>
      <c r="B27" s="62" t="inlineStr">
        <is>
          <t>% of agent actions without human approval</t>
        </is>
      </c>
      <c r="C27" s="62" t="inlineStr">
        <is>
          <t>(Autonomous / Total) × 100</t>
        </is>
      </c>
      <c r="D27" s="62" t="inlineStr">
        <is>
          <t>Agent audit trail</t>
        </is>
      </c>
      <c r="E27" s="62" t="inlineStr">
        <is>
          <t>Weekly</t>
        </is>
      </c>
      <c r="F27" s="62" t="n"/>
      <c r="G27" s="62" t="n"/>
      <c r="H27" s="62" t="n"/>
    </row>
    <row r="28" ht="18" customHeight="1" s="55">
      <c r="A28" s="71" t="inlineStr">
        <is>
          <t>Training Completion</t>
        </is>
      </c>
      <c r="B28" s="62" t="inlineStr">
        <is>
          <t>% of users completing AI security training</t>
        </is>
      </c>
      <c r="C28" s="62" t="inlineStr">
        <is>
          <t>(Trained / Total) × 100</t>
        </is>
      </c>
      <c r="D28" s="62" t="inlineStr">
        <is>
          <t>LMS</t>
        </is>
      </c>
      <c r="E28" s="62" t="inlineStr">
        <is>
          <t>Quarterly</t>
        </is>
      </c>
      <c r="F28" s="62" t="n"/>
      <c r="G28" s="62" t="n"/>
      <c r="H28" s="62" t="n"/>
    </row>
    <row r="29" ht="18" customHeight="1" s="55">
      <c r="A29" s="71" t="inlineStr">
        <is>
          <t>Vendor Risk Score</t>
        </is>
      </c>
      <c r="B29" s="62" t="inlineStr">
        <is>
          <t>Average risk score across AI vendors</t>
        </is>
      </c>
      <c r="C29" s="62" t="inlineStr">
        <is>
          <t>Sum(Vendor Risk) / Count</t>
        </is>
      </c>
      <c r="D29" s="62" t="inlineStr">
        <is>
          <t>Vendor assessments</t>
        </is>
      </c>
      <c r="E29" s="62" t="inlineStr">
        <is>
          <t>Quarterly</t>
        </is>
      </c>
      <c r="F29" s="62" t="n"/>
      <c r="G29" s="62" t="n"/>
      <c r="H29" s="62" t="n"/>
    </row>
    <row r="31" ht="18" customHeight="1" s="55">
      <c r="A31" s="59" t="inlineStr">
        <is>
          <t>3. Service level objectives (SLOs)</t>
        </is>
      </c>
    </row>
    <row r="32" ht="18" customHeight="1" s="55">
      <c r="A32" s="61" t="inlineStr">
        <is>
          <t>SLO</t>
        </is>
      </c>
      <c r="B32" s="61" t="inlineStr">
        <is>
          <t>Target</t>
        </is>
      </c>
      <c r="C32" s="61" t="inlineStr">
        <is>
          <t>Threshold</t>
        </is>
      </c>
      <c r="D32" s="61" t="inlineStr">
        <is>
          <t>Escalation</t>
        </is>
      </c>
      <c r="E32" s="61" t="n"/>
      <c r="F32" s="61" t="n"/>
      <c r="G32" s="61" t="n"/>
      <c r="H32" s="61" t="n"/>
    </row>
    <row r="33" ht="18" customHeight="1" s="55">
      <c r="A33" s="71" t="inlineStr">
        <is>
          <t>Tool Inventory Coverage</t>
        </is>
      </c>
      <c r="B33" s="62" t="inlineStr">
        <is>
          <t>≥ 95%</t>
        </is>
      </c>
      <c r="C33" s="62" t="inlineStr">
        <is>
          <t>&lt; 90% triggers audit</t>
        </is>
      </c>
      <c r="D33" s="62" t="inlineStr">
        <is>
          <t>Security Lead → CISO</t>
        </is>
      </c>
      <c r="E33" s="62" t="n"/>
      <c r="F33" s="62" t="n"/>
      <c r="G33" s="62" t="n"/>
      <c r="H33" s="62" t="n"/>
    </row>
    <row r="34" ht="18" customHeight="1" s="55">
      <c r="A34" s="76" t="inlineStr">
        <is>
          <t>Agent Inventory Coverage</t>
        </is>
      </c>
      <c r="B34" s="62" t="inlineStr">
        <is>
          <t>≥ 95%</t>
        </is>
      </c>
      <c r="C34" s="62" t="inlineStr">
        <is>
          <t>&lt; 90% triggers audit</t>
        </is>
      </c>
      <c r="D34" s="62" t="inlineStr">
        <is>
          <t>Security Lead → CISO</t>
        </is>
      </c>
      <c r="E34" s="62" t="n"/>
      <c r="F34" s="62" t="n"/>
      <c r="G34" s="62" t="n"/>
      <c r="H34" s="62" t="n"/>
    </row>
    <row r="35" ht="31.5" customHeight="1" s="55">
      <c r="A35" s="71" t="inlineStr">
        <is>
          <t>Review Completion Rate</t>
        </is>
      </c>
      <c r="B35" s="62" t="inlineStr">
        <is>
          <t>≥ 95%</t>
        </is>
      </c>
      <c r="C35" s="62" t="inlineStr">
        <is>
          <t>&lt; 85% triggers remediation</t>
        </is>
      </c>
      <c r="D35" s="62" t="inlineStr">
        <is>
          <t>Security Lead</t>
        </is>
      </c>
      <c r="E35" s="62" t="n"/>
      <c r="F35" s="62" t="n"/>
      <c r="G35" s="62" t="n"/>
      <c r="H35" s="62" t="n"/>
    </row>
    <row r="36" ht="18" customHeight="1" s="55">
      <c r="A36" s="71" t="inlineStr">
        <is>
          <t>Low Risk Approval Time</t>
        </is>
      </c>
      <c r="B36" s="62" t="inlineStr">
        <is>
          <t>≤ 2 business days</t>
        </is>
      </c>
      <c r="C36" s="62" t="inlineStr">
        <is>
          <t>&gt; 3 days escalates</t>
        </is>
      </c>
      <c r="D36" s="62" t="inlineStr">
        <is>
          <t>Security Team</t>
        </is>
      </c>
      <c r="E36" s="62" t="n"/>
      <c r="F36" s="62" t="n"/>
      <c r="G36" s="62" t="n"/>
      <c r="H36" s="62" t="n"/>
    </row>
    <row r="37" ht="18" customHeight="1" s="55">
      <c r="A37" s="71" t="inlineStr">
        <is>
          <t>Medium Risk Approval Time</t>
        </is>
      </c>
      <c r="B37" s="62" t="inlineStr">
        <is>
          <t>≤ 5 business days</t>
        </is>
      </c>
      <c r="C37" s="62" t="inlineStr">
        <is>
          <t>&gt; 7 days escalates</t>
        </is>
      </c>
      <c r="D37" s="62" t="inlineStr">
        <is>
          <t>Security Lead</t>
        </is>
      </c>
      <c r="E37" s="62" t="n"/>
      <c r="F37" s="62" t="n"/>
      <c r="G37" s="62" t="n"/>
      <c r="H37" s="62" t="n"/>
    </row>
    <row r="38" ht="18" customHeight="1" s="55">
      <c r="A38" s="71" t="inlineStr">
        <is>
          <t>High Risk Approval Time</t>
        </is>
      </c>
      <c r="B38" s="62" t="inlineStr">
        <is>
          <t>≤ 10 business days</t>
        </is>
      </c>
      <c r="C38" s="62" t="inlineStr">
        <is>
          <t>&gt; 14 days escalates</t>
        </is>
      </c>
      <c r="D38" s="62" t="inlineStr">
        <is>
          <t>Committee Chair</t>
        </is>
      </c>
      <c r="E38" s="62" t="n"/>
      <c r="F38" s="62" t="n"/>
      <c r="G38" s="62" t="n"/>
      <c r="H38" s="62" t="n"/>
    </row>
    <row r="39" ht="18" customHeight="1" s="55">
      <c r="A39" s="71" t="inlineStr">
        <is>
          <t>Severe Risk Exception Review</t>
        </is>
      </c>
      <c r="B39" s="62" t="inlineStr">
        <is>
          <t>≤ 15 business days</t>
        </is>
      </c>
      <c r="C39" s="62" t="inlineStr">
        <is>
          <t>&gt; 20 days escalates</t>
        </is>
      </c>
      <c r="D39" s="62" t="inlineStr">
        <is>
          <t>CISO</t>
        </is>
      </c>
      <c r="E39" s="62" t="n"/>
      <c r="F39" s="62" t="n"/>
      <c r="G39" s="62" t="n"/>
      <c r="H39" s="62" t="n"/>
    </row>
    <row r="40" ht="18" customHeight="1" s="55">
      <c r="A40" s="71" t="inlineStr">
        <is>
          <t>Guardrail Verification Rate</t>
        </is>
      </c>
      <c r="B40" s="62" t="inlineStr">
        <is>
          <t>100%</t>
        </is>
      </c>
      <c r="C40" s="62" t="inlineStr">
        <is>
          <t>&lt; 95% blocks activation</t>
        </is>
      </c>
      <c r="D40" s="62" t="inlineStr">
        <is>
          <t>Security Team</t>
        </is>
      </c>
      <c r="E40" s="62" t="n"/>
      <c r="F40" s="62" t="n"/>
      <c r="G40" s="62" t="n"/>
      <c r="H40" s="62" t="n"/>
    </row>
    <row r="41" ht="18" customHeight="1" s="55">
      <c r="A41" s="74" t="inlineStr">
        <is>
          <t>Tier 1 Kill Switch Response</t>
        </is>
      </c>
      <c r="B41" s="62" t="inlineStr">
        <is>
          <t>&lt; 15 minutes</t>
        </is>
      </c>
      <c r="C41" s="62" t="inlineStr">
        <is>
          <t>Immediate escalation</t>
        </is>
      </c>
      <c r="D41" s="62" t="inlineStr">
        <is>
          <t>On-call Security</t>
        </is>
      </c>
      <c r="E41" s="62" t="n"/>
      <c r="F41" s="62" t="n"/>
      <c r="G41" s="62" t="n"/>
      <c r="H41" s="62" t="n"/>
    </row>
    <row r="42" ht="18" customHeight="1" s="55">
      <c r="A42" s="74" t="inlineStr">
        <is>
          <t>Tier 2 Rapid Response Time</t>
        </is>
      </c>
      <c r="B42" s="62" t="inlineStr">
        <is>
          <t>&lt; 4 hours</t>
        </is>
      </c>
      <c r="C42" s="62" t="inlineStr">
        <is>
          <t>&gt; 6 hours escalates</t>
        </is>
      </c>
      <c r="D42" s="62" t="inlineStr">
        <is>
          <t>Security Lead</t>
        </is>
      </c>
      <c r="E42" s="62" t="n"/>
      <c r="F42" s="62" t="n"/>
      <c r="G42" s="62" t="n"/>
      <c r="H42" s="62" t="n"/>
    </row>
    <row r="43" ht="18" customHeight="1" s="55">
      <c r="A43" s="74" t="inlineStr">
        <is>
          <t>Tier 3 Accelerated Review</t>
        </is>
      </c>
      <c r="B43" s="62" t="inlineStr">
        <is>
          <t>&lt; 24 hours</t>
        </is>
      </c>
      <c r="C43" s="62" t="inlineStr">
        <is>
          <t>&gt; 48 hours escalates</t>
        </is>
      </c>
      <c r="D43" s="62" t="inlineStr">
        <is>
          <t>Security Team</t>
        </is>
      </c>
      <c r="E43" s="62" t="n"/>
      <c r="F43" s="62" t="n"/>
      <c r="G43" s="62" t="n"/>
      <c r="H43" s="62" t="n"/>
    </row>
    <row r="44" ht="31.5" customHeight="1" s="55">
      <c r="A44" s="71" t="inlineStr">
        <is>
          <t>Non-Compliance Rate</t>
        </is>
      </c>
      <c r="B44" s="62" t="inlineStr">
        <is>
          <t>&lt; 5%</t>
        </is>
      </c>
      <c r="C44" s="62" t="inlineStr">
        <is>
          <t>&gt; 10% triggers program review</t>
        </is>
      </c>
      <c r="D44" s="62" t="inlineStr">
        <is>
          <t>Committee</t>
        </is>
      </c>
      <c r="E44" s="62" t="n"/>
      <c r="F44" s="62" t="n"/>
      <c r="G44" s="62" t="n"/>
      <c r="H44" s="62" t="n"/>
    </row>
    <row r="45" ht="18" customHeight="1" s="55">
      <c r="A45" s="72" t="inlineStr">
        <is>
          <t>Prompt Injection Block Rate</t>
        </is>
      </c>
      <c r="B45" s="62" t="inlineStr">
        <is>
          <t>≥ 95% on adversarial corpus</t>
        </is>
      </c>
      <c r="C45" s="62" t="inlineStr">
        <is>
          <t>&lt; 90% vendor review</t>
        </is>
      </c>
      <c r="D45" s="62" t="inlineStr">
        <is>
          <t>Security Eng</t>
        </is>
      </c>
      <c r="E45" s="62" t="n"/>
      <c r="F45" s="62" t="n"/>
      <c r="G45" s="62" t="n"/>
      <c r="H45" s="62" t="n"/>
    </row>
    <row r="46" ht="18" customHeight="1" s="55">
      <c r="A46" s="76" t="inlineStr">
        <is>
          <t>Autonomous Action Rate (Severe-class)</t>
        </is>
      </c>
      <c r="B46" s="62" t="inlineStr">
        <is>
          <t>0%</t>
        </is>
      </c>
      <c r="C46" s="62" t="inlineStr">
        <is>
          <t>Any &gt; 0% Sev-1</t>
        </is>
      </c>
      <c r="D46" s="62" t="inlineStr">
        <is>
          <t>Security Lead</t>
        </is>
      </c>
      <c r="E46" s="62" t="n"/>
      <c r="F46" s="62" t="n"/>
      <c r="G46" s="62" t="n"/>
      <c r="H46" s="62" t="n"/>
    </row>
    <row r="47" ht="18" customHeight="1" s="55">
      <c r="A47" s="76" t="inlineStr">
        <is>
          <t>Autonomous Action Rate (High-class)</t>
        </is>
      </c>
      <c r="B47" s="62" t="inlineStr">
        <is>
          <t>&lt; 20%</t>
        </is>
      </c>
      <c r="C47" s="62" t="inlineStr">
        <is>
          <t>&gt; 30% triggers review</t>
        </is>
      </c>
      <c r="D47" s="62" t="inlineStr">
        <is>
          <t>Security Lead</t>
        </is>
      </c>
      <c r="E47" s="62" t="n"/>
      <c r="F47" s="62" t="n"/>
      <c r="G47" s="62" t="n"/>
      <c r="H47" s="62" t="n"/>
    </row>
    <row r="48" ht="18" customHeight="1" s="55">
      <c r="A48" s="77" t="inlineStr">
        <is>
          <t>Model Version Currency (production)</t>
        </is>
      </c>
      <c r="B48" s="62" t="inlineStr">
        <is>
          <t>100% on approved version</t>
        </is>
      </c>
      <c r="C48" s="62" t="inlineStr">
        <is>
          <t>Any gap = Sev-2</t>
        </is>
      </c>
      <c r="D48" s="62" t="inlineStr">
        <is>
          <t>Platform</t>
        </is>
      </c>
      <c r="E48" s="62" t="n"/>
      <c r="F48" s="62" t="n"/>
      <c r="G48" s="62" t="n"/>
      <c r="H48" s="62" t="n"/>
    </row>
    <row r="49" ht="18" customHeight="1" s="55">
      <c r="A49" s="72" t="inlineStr">
        <is>
          <t>Red Team Test Cadence</t>
        </is>
      </c>
      <c r="B49" s="62" t="inlineStr">
        <is>
          <t>Monthly</t>
        </is>
      </c>
      <c r="C49" s="62" t="inlineStr">
        <is>
          <t>Missed month escalates</t>
        </is>
      </c>
      <c r="D49" s="62" t="inlineStr">
        <is>
          <t>Offensive Security</t>
        </is>
      </c>
      <c r="E49" s="62" t="n"/>
      <c r="F49" s="62" t="n"/>
      <c r="G49" s="62" t="n"/>
      <c r="H49" s="62" t="n"/>
    </row>
    <row r="50" ht="18" customHeight="1" s="55">
      <c r="A50" s="71" t="inlineStr">
        <is>
          <t>Exception Renewal Processing</t>
        </is>
      </c>
      <c r="B50" s="62" t="inlineStr">
        <is>
          <t>≤ 5 business days before expiry</t>
        </is>
      </c>
      <c r="C50" s="62" t="inlineStr">
        <is>
          <t>Auto-suspend if missed</t>
        </is>
      </c>
      <c r="D50" s="62" t="inlineStr">
        <is>
          <t>Exception Owner</t>
        </is>
      </c>
      <c r="E50" s="62" t="n"/>
      <c r="F50" s="62" t="n"/>
      <c r="G50" s="62" t="n"/>
      <c r="H50" s="62" t="n"/>
    </row>
    <row r="51" ht="31.5" customHeight="1" s="55">
      <c r="A51" s="76" t="inlineStr">
        <is>
          <t>Agent Incident Rate</t>
        </is>
      </c>
      <c r="B51" s="62" t="inlineStr">
        <is>
          <t>&lt; 2 / quarter</t>
        </is>
      </c>
      <c r="C51" s="62" t="inlineStr">
        <is>
          <t>&gt; 3 triggers program review</t>
        </is>
      </c>
      <c r="D51" s="62" t="inlineStr">
        <is>
          <t>Committee</t>
        </is>
      </c>
      <c r="E51" s="62" t="n"/>
      <c r="F51" s="62" t="n"/>
      <c r="G51" s="62" t="n"/>
      <c r="H51" s="62" t="n"/>
    </row>
    <row r="53" ht="18" customHeight="1" s="55">
      <c r="A53" s="59" t="inlineStr">
        <is>
          <t>4. Compliance framework metrics matrix</t>
        </is>
      </c>
    </row>
    <row r="54" ht="18" customHeight="1" s="55">
      <c r="A54" s="61" t="inlineStr">
        <is>
          <t>Metric Category</t>
        </is>
      </c>
      <c r="B54" s="61" t="inlineStr">
        <is>
          <t>ISO 42001</t>
        </is>
      </c>
      <c r="C54" s="61" t="inlineStr">
        <is>
          <t>NIST AI RMF</t>
        </is>
      </c>
      <c r="D54" s="61" t="inlineStr">
        <is>
          <t>EU AI Act</t>
        </is>
      </c>
      <c r="E54" s="61" t="inlineStr">
        <is>
          <t>SOC 2</t>
        </is>
      </c>
      <c r="F54" s="61" t="inlineStr">
        <is>
          <t>CSA AI</t>
        </is>
      </c>
      <c r="G54" s="61" t="inlineStr">
        <is>
          <t>NIST CSF 2.0</t>
        </is>
      </c>
      <c r="H54" s="61" t="n"/>
    </row>
    <row r="55" ht="18" customHeight="1" s="55">
      <c r="A55" s="62" t="inlineStr">
        <is>
          <t>AI Inventory &amp; Discovery</t>
        </is>
      </c>
      <c r="B55" s="62" t="inlineStr">
        <is>
          <t>Annex A.6.2.2</t>
        </is>
      </c>
      <c r="C55" s="62" t="inlineStr">
        <is>
          <t>MAP 1.1</t>
        </is>
      </c>
      <c r="D55" s="62" t="inlineStr">
        <is>
          <t>Art. 60</t>
        </is>
      </c>
      <c r="E55" s="62" t="inlineStr">
        <is>
          <t>CC6.1</t>
        </is>
      </c>
      <c r="F55" s="62" t="inlineStr">
        <is>
          <t>AIS-01</t>
        </is>
      </c>
      <c r="G55" s="62" t="inlineStr">
        <is>
          <t>ID.AM-1</t>
        </is>
      </c>
      <c r="H55" s="62" t="n"/>
    </row>
    <row r="56" ht="18" customHeight="1" s="55">
      <c r="A56" s="62" t="inlineStr">
        <is>
          <t>Risk Assessment</t>
        </is>
      </c>
      <c r="B56" s="62" t="inlineStr">
        <is>
          <t>Annex A.5.4</t>
        </is>
      </c>
      <c r="C56" s="62" t="inlineStr">
        <is>
          <t>MAP 2.1-2.3</t>
        </is>
      </c>
      <c r="D56" s="62" t="inlineStr">
        <is>
          <t>Art. 9</t>
        </is>
      </c>
      <c r="E56" s="62" t="inlineStr">
        <is>
          <t>CC3.2</t>
        </is>
      </c>
      <c r="F56" s="62" t="inlineStr">
        <is>
          <t>AIS-02</t>
        </is>
      </c>
      <c r="G56" s="62" t="inlineStr">
        <is>
          <t>ID.RA-1</t>
        </is>
      </c>
      <c r="H56" s="62" t="n"/>
    </row>
    <row r="57" ht="18" customHeight="1" s="55">
      <c r="A57" s="62" t="inlineStr">
        <is>
          <t>Control Verification</t>
        </is>
      </c>
      <c r="B57" s="62" t="inlineStr">
        <is>
          <t>Annex A.6.2.4</t>
        </is>
      </c>
      <c r="C57" s="62" t="inlineStr">
        <is>
          <t>MEASURE 2.1</t>
        </is>
      </c>
      <c r="D57" s="62" t="inlineStr">
        <is>
          <t>Art. 9(4)</t>
        </is>
      </c>
      <c r="E57" s="62" t="inlineStr">
        <is>
          <t>CC5.1</t>
        </is>
      </c>
      <c r="F57" s="62" t="inlineStr">
        <is>
          <t>AIS-03</t>
        </is>
      </c>
      <c r="G57" s="62" t="inlineStr">
        <is>
          <t>PR.IP-1</t>
        </is>
      </c>
      <c r="H57" s="62" t="n"/>
    </row>
    <row r="58" ht="18" customHeight="1" s="55">
      <c r="A58" s="62" t="inlineStr">
        <is>
          <t>Approval &amp; Change Mgmt</t>
        </is>
      </c>
      <c r="B58" s="62" t="inlineStr">
        <is>
          <t>Annex A.7.2</t>
        </is>
      </c>
      <c r="C58" s="62" t="inlineStr">
        <is>
          <t>GOVERN 1.4</t>
        </is>
      </c>
      <c r="D58" s="62" t="inlineStr">
        <is>
          <t>Art. 17</t>
        </is>
      </c>
      <c r="E58" s="62" t="inlineStr">
        <is>
          <t>CC8.1</t>
        </is>
      </c>
      <c r="F58" s="62" t="n"/>
      <c r="G58" s="62" t="inlineStr">
        <is>
          <t>PR.IP-3</t>
        </is>
      </c>
      <c r="H58" s="62" t="n"/>
    </row>
    <row r="59" ht="18" customHeight="1" s="55">
      <c r="A59" s="62" t="inlineStr">
        <is>
          <t>Monitoring &amp; Logging</t>
        </is>
      </c>
      <c r="B59" s="62" t="inlineStr">
        <is>
          <t>Annex A.8.3</t>
        </is>
      </c>
      <c r="C59" s="62" t="inlineStr">
        <is>
          <t>MEASURE 1.1</t>
        </is>
      </c>
      <c r="D59" s="62" t="inlineStr">
        <is>
          <t>Art. 12</t>
        </is>
      </c>
      <c r="E59" s="62" t="inlineStr">
        <is>
          <t>CC7.2</t>
        </is>
      </c>
      <c r="F59" s="62" t="inlineStr">
        <is>
          <t>AIS-04</t>
        </is>
      </c>
      <c r="G59" s="62" t="inlineStr">
        <is>
          <t>DE.CM-1</t>
        </is>
      </c>
      <c r="H59" s="62" t="n"/>
    </row>
    <row r="60" ht="18" customHeight="1" s="55">
      <c r="A60" s="62" t="inlineStr">
        <is>
          <t>Incident Response</t>
        </is>
      </c>
      <c r="B60" s="62" t="inlineStr">
        <is>
          <t>Annex A.8.4</t>
        </is>
      </c>
      <c r="C60" s="62" t="inlineStr">
        <is>
          <t>MANAGE 3.1</t>
        </is>
      </c>
      <c r="D60" s="62" t="inlineStr">
        <is>
          <t>Art. 62</t>
        </is>
      </c>
      <c r="E60" s="62" t="inlineStr">
        <is>
          <t>CC7.4</t>
        </is>
      </c>
      <c r="F60" s="62" t="inlineStr">
        <is>
          <t>AIS-06</t>
        </is>
      </c>
      <c r="G60" s="62" t="inlineStr">
        <is>
          <t>RS.RP-1</t>
        </is>
      </c>
      <c r="H60" s="62" t="n"/>
    </row>
    <row r="61" ht="18" customHeight="1" s="55">
      <c r="A61" s="62" t="inlineStr">
        <is>
          <t>Third-Party / Vendor</t>
        </is>
      </c>
      <c r="B61" s="62" t="inlineStr">
        <is>
          <t>Annex A.6.2.6</t>
        </is>
      </c>
      <c r="C61" s="62" t="inlineStr">
        <is>
          <t>MAP 4.1</t>
        </is>
      </c>
      <c r="D61" s="62" t="inlineStr">
        <is>
          <t>Art. 25</t>
        </is>
      </c>
      <c r="E61" s="62" t="inlineStr">
        <is>
          <t>CC9.2</t>
        </is>
      </c>
      <c r="F61" s="62" t="inlineStr">
        <is>
          <t>AIS-05</t>
        </is>
      </c>
      <c r="G61" s="62" t="inlineStr">
        <is>
          <t>ID.SC-1</t>
        </is>
      </c>
      <c r="H61" s="62" t="n"/>
    </row>
    <row r="62" ht="18" customHeight="1" s="55">
      <c r="A62" s="62" t="inlineStr">
        <is>
          <t>Human Oversight</t>
        </is>
      </c>
      <c r="B62" s="62" t="inlineStr">
        <is>
          <t>Annex A.6.2.3</t>
        </is>
      </c>
      <c r="C62" s="62" t="inlineStr">
        <is>
          <t>GOVERN 3.1</t>
        </is>
      </c>
      <c r="D62" s="62" t="inlineStr">
        <is>
          <t>Art. 14</t>
        </is>
      </c>
      <c r="E62" s="62" t="n"/>
      <c r="F62" s="62" t="n"/>
      <c r="G62" s="62" t="n"/>
      <c r="H62" s="62" t="n"/>
    </row>
    <row r="63" ht="18" customHeight="1" s="55">
      <c r="A63" s="62" t="inlineStr">
        <is>
          <t>Data Protection</t>
        </is>
      </c>
      <c r="B63" s="62" t="inlineStr">
        <is>
          <t>Annex A.7.4</t>
        </is>
      </c>
      <c r="C63" s="62" t="inlineStr">
        <is>
          <t>MAP 3.1</t>
        </is>
      </c>
      <c r="D63" s="62" t="inlineStr">
        <is>
          <t>Art. 10</t>
        </is>
      </c>
      <c r="E63" s="62" t="inlineStr">
        <is>
          <t>CC6.1</t>
        </is>
      </c>
      <c r="F63" s="62" t="inlineStr">
        <is>
          <t>AIS-07</t>
        </is>
      </c>
      <c r="G63" s="62" t="inlineStr">
        <is>
          <t>PR.DS-1</t>
        </is>
      </c>
      <c r="H63" s="62" t="n"/>
    </row>
    <row r="64" ht="18" customHeight="1" s="55">
      <c r="A64" s="62" t="inlineStr">
        <is>
          <t>Red Teaming</t>
        </is>
      </c>
      <c r="B64" s="62" t="inlineStr">
        <is>
          <t>9.2</t>
        </is>
      </c>
      <c r="C64" s="62" t="inlineStr">
        <is>
          <t>MEASURE 2.5-2.11</t>
        </is>
      </c>
      <c r="D64" s="62" t="inlineStr">
        <is>
          <t>Art. 9(6)</t>
        </is>
      </c>
      <c r="E64" s="62" t="inlineStr">
        <is>
          <t>CC4.1</t>
        </is>
      </c>
      <c r="F64" s="62" t="inlineStr">
        <is>
          <t>AIS-08</t>
        </is>
      </c>
      <c r="G64" s="62" t="n"/>
      <c r="H64" s="62" t="n"/>
    </row>
    <row r="66" ht="18" customHeight="1" s="55">
      <c r="A66" s="59" t="inlineStr">
        <is>
          <t>5. Reporting cadence</t>
        </is>
      </c>
    </row>
    <row r="67" ht="18" customHeight="1" s="55">
      <c r="A67" s="61" t="inlineStr">
        <is>
          <t>Report</t>
        </is>
      </c>
      <c r="B67" s="61" t="inlineStr">
        <is>
          <t>Audience</t>
        </is>
      </c>
      <c r="C67" s="61" t="inlineStr">
        <is>
          <t>Frequency</t>
        </is>
      </c>
      <c r="D67" s="61" t="inlineStr">
        <is>
          <t>Contents</t>
        </is>
      </c>
      <c r="E67" s="61" t="n"/>
      <c r="F67" s="61" t="n"/>
      <c r="G67" s="61" t="n"/>
      <c r="H67" s="61" t="n"/>
    </row>
    <row r="68" ht="31.5" customHeight="1" s="55">
      <c r="A68" s="62" t="inlineStr">
        <is>
          <t>Executive Dashboard</t>
        </is>
      </c>
      <c r="B68" s="62" t="inlineStr">
        <is>
          <t>CISO, Security Leadership</t>
        </is>
      </c>
      <c r="C68" s="62" t="inlineStr">
        <is>
          <t>Monthly</t>
        </is>
      </c>
      <c r="D68" s="62" t="inlineStr">
        <is>
          <t>KPI summary, SLO status, trend analysis, risk highlights</t>
        </is>
      </c>
      <c r="E68" s="62" t="n"/>
      <c r="F68" s="62" t="n"/>
      <c r="G68" s="62" t="n"/>
      <c r="H68" s="62" t="n"/>
    </row>
    <row r="69" ht="31.5" customHeight="1" s="55">
      <c r="A69" s="62" t="inlineStr">
        <is>
          <t>Operational Report</t>
        </is>
      </c>
      <c r="B69" s="62" t="inlineStr">
        <is>
          <t>Security Team, Tool Owners</t>
        </is>
      </c>
      <c r="C69" s="62" t="inlineStr">
        <is>
          <t>Weekly</t>
        </is>
      </c>
      <c r="D69" s="62" t="inlineStr">
        <is>
          <t>New tools, pending reviews, expiring exceptions, incidents</t>
        </is>
      </c>
      <c r="E69" s="62" t="n"/>
      <c r="F69" s="62" t="n"/>
      <c r="G69" s="62" t="n"/>
      <c r="H69" s="62" t="n"/>
    </row>
    <row r="70" ht="31.5" customHeight="1" s="55">
      <c r="A70" s="62" t="inlineStr">
        <is>
          <t>Compliance Report</t>
        </is>
      </c>
      <c r="B70" s="62" t="inlineStr">
        <is>
          <t>Compliance, Audit, Legal</t>
        </is>
      </c>
      <c r="C70" s="62" t="inlineStr">
        <is>
          <t>Quarterly</t>
        </is>
      </c>
      <c r="D70" s="62" t="inlineStr">
        <is>
          <t>Framework-specific metrics, evidence artifacts, gaps</t>
        </is>
      </c>
      <c r="E70" s="62" t="n"/>
      <c r="F70" s="62" t="n"/>
      <c r="G70" s="62" t="n"/>
      <c r="H70" s="62" t="n"/>
    </row>
    <row r="71" ht="31.5" customHeight="1" s="55">
      <c r="A71" s="62" t="inlineStr">
        <is>
          <t>Board Summary</t>
        </is>
      </c>
      <c r="B71" s="62" t="inlineStr">
        <is>
          <t>Board, Executive Committee</t>
        </is>
      </c>
      <c r="C71" s="62" t="inlineStr">
        <is>
          <t>Quarterly</t>
        </is>
      </c>
      <c r="D71" s="62" t="inlineStr">
        <is>
          <t>Program maturity, major risks, strategic recommendations</t>
        </is>
      </c>
      <c r="E71" s="62" t="n"/>
      <c r="F71" s="62" t="n"/>
      <c r="G71" s="62" t="n"/>
      <c r="H71" s="62" t="n"/>
    </row>
    <row r="72" ht="31.5" customHeight="1" s="55">
      <c r="A72" s="62" t="inlineStr">
        <is>
          <t>Incident Report</t>
        </is>
      </c>
      <c r="B72" s="62" t="inlineStr">
        <is>
          <t>Security Leadership</t>
        </is>
      </c>
      <c r="C72" s="62" t="inlineStr">
        <is>
          <t>Per incident</t>
        </is>
      </c>
      <c r="D72" s="62" t="inlineStr">
        <is>
          <t>Root cause, impact, remediation, lessons learned</t>
        </is>
      </c>
      <c r="E72" s="62" t="n"/>
      <c r="F72" s="62" t="n"/>
      <c r="G72" s="62" t="n"/>
      <c r="H72" s="62" t="n"/>
    </row>
    <row r="73" ht="45.75" customHeight="1" s="55">
      <c r="A73" s="62" t="inlineStr">
        <is>
          <t>Agentic AI Health</t>
        </is>
      </c>
      <c r="B73" s="62" t="inlineStr">
        <is>
          <t>Platform + Security Eng</t>
        </is>
      </c>
      <c r="C73" s="62" t="inlineStr">
        <is>
          <t>Weekly (new)</t>
        </is>
      </c>
      <c r="D73" s="62" t="inlineStr">
        <is>
          <t>Agent count, autonomy distribution, auth failures, cost trends</t>
        </is>
      </c>
      <c r="E73" s="62" t="n"/>
      <c r="F73" s="62" t="n"/>
      <c r="G73" s="62" t="n"/>
      <c r="H73" s="62" t="n"/>
    </row>
    <row r="75" ht="18" customHeight="1" s="55">
      <c r="A75" s="59" t="inlineStr">
        <is>
          <t>6. Program maturity model (CMM-aligned)</t>
        </is>
      </c>
    </row>
    <row r="76" ht="18" customHeight="1" s="55">
      <c r="A76" s="61" t="inlineStr">
        <is>
          <t>Level</t>
        </is>
      </c>
      <c r="B76" s="61" t="inlineStr">
        <is>
          <t>Name</t>
        </is>
      </c>
      <c r="C76" s="61" t="inlineStr">
        <is>
          <t>Characteristics</t>
        </is>
      </c>
      <c r="D76" s="61" t="inlineStr">
        <is>
          <t>Key Actions</t>
        </is>
      </c>
      <c r="E76" s="61" t="inlineStr">
        <is>
          <t>How to Advance</t>
        </is>
      </c>
      <c r="F76" s="61" t="n"/>
      <c r="G76" s="61" t="n"/>
      <c r="H76" s="61" t="n"/>
    </row>
    <row r="77" ht="102" customHeight="1" s="55">
      <c r="A77" s="103" t="n">
        <v>1</v>
      </c>
      <c r="B77" s="70" t="inlineStr">
        <is>
          <t>Initial</t>
        </is>
      </c>
      <c r="C77" s="62" t="inlineStr">
        <is>
          <t>No formal AI inventory. Shadow AI prevalent. Reactive to incidents. No standardized controls.</t>
        </is>
      </c>
      <c r="D77" s="62" t="inlineStr">
        <is>
          <t>Acknowledge problem. Identify stakeholders. Informal discovery. Document known tools.</t>
        </is>
      </c>
      <c r="E77" s="62" t="inlineStr">
        <is>
          <t>Establish governance committee. Initial inventory. Define risk criteria. Deploy shadow AI discovery.</t>
        </is>
      </c>
      <c r="F77" s="62" t="n"/>
      <c r="G77" s="62" t="n"/>
      <c r="H77" s="62" t="n"/>
    </row>
    <row r="78" ht="115.5" customHeight="1" s="55">
      <c r="A78" s="104" t="n">
        <v>2</v>
      </c>
      <c r="B78" s="69" t="inlineStr">
        <is>
          <t>Managed</t>
        </is>
      </c>
      <c r="C78" s="62" t="inlineStr">
        <is>
          <t>Partial inventory (50-75%). Basic intake. Some tools have guardrails. Inconsistent enforcement.</t>
        </is>
      </c>
      <c r="D78" s="62" t="inlineStr">
        <is>
          <t>Maintain registry. Process intake requests. Apply basic guardrails. Respond to incidents.</t>
        </is>
      </c>
      <c r="E78" s="62" t="inlineStr">
        <is>
          <t>Standardize processes. Document guardrail requirements. Systematic reviews. Monitoring tools. Train stakeholders.</t>
        </is>
      </c>
      <c r="F78" s="62" t="n"/>
      <c r="G78" s="62" t="n"/>
      <c r="H78" s="62" t="n"/>
    </row>
    <row r="79" ht="87.75" customHeight="1" s="55">
      <c r="A79" s="105" t="n">
        <v>3</v>
      </c>
      <c r="B79" s="68" t="inlineStr">
        <is>
          <t>Defined</t>
        </is>
      </c>
      <c r="C79" s="62" t="inlineStr">
        <is>
          <t>Complete inventory (75-90%). Standardized workflows. All tools have guardrails. Proactive monitoring.</t>
        </is>
      </c>
      <c r="D79" s="62" t="inlineStr">
        <is>
          <t>Follow workflows. Verify guardrails. Scheduled reviews. Formal exception management.</t>
        </is>
      </c>
      <c r="E79" s="62" t="inlineStr">
        <is>
          <t>Metrics program. SLO targets. Automate compliance checks. Integrate SIEM / GRC.</t>
        </is>
      </c>
      <c r="F79" s="62" t="n"/>
      <c r="G79" s="62" t="n"/>
      <c r="H79" s="62" t="n"/>
    </row>
    <row r="80" ht="87.75" customHeight="1" s="55">
      <c r="A80" s="106" t="n">
        <v>4</v>
      </c>
      <c r="B80" s="67" t="inlineStr">
        <is>
          <t>Quantitatively Managed</t>
        </is>
      </c>
      <c r="C80" s="62" t="inlineStr">
        <is>
          <t>High coverage (&gt;90%). SLOs met. Automated controls. Metrics-driven decisions.</t>
        </is>
      </c>
      <c r="D80" s="62" t="inlineStr">
        <is>
          <t>Monitor KPIs continuously. Enforce SLO compliance. Automate remediation. Report to leadership.</t>
        </is>
      </c>
      <c r="E80" s="62" t="inlineStr">
        <is>
          <t>Focus on optimization. AI for AI security. Industry standards. Share best practices.</t>
        </is>
      </c>
      <c r="F80" s="62" t="n"/>
      <c r="G80" s="62" t="n"/>
      <c r="H80" s="62" t="n"/>
    </row>
    <row r="81" ht="102" customHeight="1" s="55">
      <c r="A81" s="107" t="n">
        <v>5</v>
      </c>
      <c r="B81" s="108" t="inlineStr">
        <is>
          <t>Optimizing</t>
        </is>
      </c>
      <c r="C81" s="62" t="inlineStr">
        <is>
          <t>Near-complete coverage (&gt;95%). Leading practices. Continuous improvement. Industry leadership.</t>
        </is>
      </c>
      <c r="D81" s="62" t="inlineStr">
        <is>
          <t>Optimize continuously. Lead industry initiatives. Mentor peers. Innovate controls.</t>
        </is>
      </c>
      <c r="E81" s="62" t="inlineStr">
        <is>
          <t>Maintain excellence: emerging threat adaptation, continuous benchmarking, innovation investment.</t>
        </is>
      </c>
      <c r="F81" s="62" t="n"/>
      <c r="G81" s="62" t="n"/>
      <c r="H81" s="62" t="n"/>
    </row>
    <row r="83" ht="18" customHeight="1" s="55">
      <c r="A83" s="60" t="inlineStr">
        <is>
          <t>Assess each dimension (Inventory, Process, Controls, Monitoring, Compliance) on 1-5. Average determines overall maturity. Target: advance one level every 6-12 months.</t>
        </is>
      </c>
    </row>
    <row r="85" ht="18" customHeight="1" s="55">
      <c r="A85" s="59" t="inlineStr">
        <is>
          <t>KPI benchmarks by maturity level</t>
        </is>
      </c>
    </row>
    <row r="86" ht="18" customHeight="1" s="55">
      <c r="A86" s="61" t="inlineStr">
        <is>
          <t>KPI</t>
        </is>
      </c>
      <c r="B86" s="61" t="inlineStr">
        <is>
          <t>Level 1</t>
        </is>
      </c>
      <c r="C86" s="61" t="inlineStr">
        <is>
          <t>Level 2</t>
        </is>
      </c>
      <c r="D86" s="61" t="inlineStr">
        <is>
          <t>Level 3</t>
        </is>
      </c>
      <c r="E86" s="61" t="inlineStr">
        <is>
          <t>Level 4</t>
        </is>
      </c>
      <c r="F86" s="61" t="inlineStr">
        <is>
          <t>Level 5</t>
        </is>
      </c>
      <c r="G86" s="61" t="n"/>
      <c r="H86" s="61" t="n"/>
    </row>
    <row r="87" ht="18" customHeight="1" s="55">
      <c r="A87" s="62" t="inlineStr">
        <is>
          <t>Tool Inventory Coverage</t>
        </is>
      </c>
      <c r="B87" s="70" t="inlineStr">
        <is>
          <t>&lt;50%</t>
        </is>
      </c>
      <c r="C87" s="70" t="inlineStr">
        <is>
          <t>50-75%</t>
        </is>
      </c>
      <c r="D87" s="69" t="inlineStr">
        <is>
          <t>75-90%</t>
        </is>
      </c>
      <c r="E87" s="68" t="inlineStr">
        <is>
          <t>90-95%</t>
        </is>
      </c>
      <c r="F87" s="67" t="inlineStr">
        <is>
          <t>&gt;95%</t>
        </is>
      </c>
      <c r="G87" s="108" t="n"/>
      <c r="H87" s="62" t="n"/>
    </row>
    <row r="88" ht="18" customHeight="1" s="55">
      <c r="A88" s="62" t="inlineStr">
        <is>
          <t>Agent Inventory Coverage</t>
        </is>
      </c>
      <c r="B88" s="70" t="inlineStr">
        <is>
          <t>&lt;25%</t>
        </is>
      </c>
      <c r="C88" s="70" t="inlineStr">
        <is>
          <t>25-50%</t>
        </is>
      </c>
      <c r="D88" s="69" t="inlineStr">
        <is>
          <t>50-75%</t>
        </is>
      </c>
      <c r="E88" s="68" t="inlineStr">
        <is>
          <t>75-90%</t>
        </is>
      </c>
      <c r="F88" s="67" t="inlineStr">
        <is>
          <t>&gt;90%</t>
        </is>
      </c>
      <c r="G88" s="108" t="n"/>
      <c r="H88" s="62" t="n"/>
    </row>
    <row r="89" ht="18" customHeight="1" s="55">
      <c r="A89" s="62" t="inlineStr">
        <is>
          <t>Review Completion Rate</t>
        </is>
      </c>
      <c r="B89" s="70" t="inlineStr">
        <is>
          <t>&lt;50%</t>
        </is>
      </c>
      <c r="C89" s="70" t="inlineStr">
        <is>
          <t>50-75%</t>
        </is>
      </c>
      <c r="D89" s="69" t="inlineStr">
        <is>
          <t>75-90%</t>
        </is>
      </c>
      <c r="E89" s="68" t="inlineStr">
        <is>
          <t>90-95%</t>
        </is>
      </c>
      <c r="F89" s="67" t="inlineStr">
        <is>
          <t>&gt;95%</t>
        </is>
      </c>
      <c r="G89" s="108" t="n"/>
      <c r="H89" s="62" t="n"/>
    </row>
    <row r="90" ht="18" customHeight="1" s="55">
      <c r="A90" s="62" t="inlineStr">
        <is>
          <t>Guardrail Verification</t>
        </is>
      </c>
      <c r="B90" s="70" t="inlineStr">
        <is>
          <t>&lt;25%</t>
        </is>
      </c>
      <c r="C90" s="70" t="inlineStr">
        <is>
          <t>25-50%</t>
        </is>
      </c>
      <c r="D90" s="69" t="inlineStr">
        <is>
          <t>50-80%</t>
        </is>
      </c>
      <c r="E90" s="68" t="inlineStr">
        <is>
          <t>80-95%</t>
        </is>
      </c>
      <c r="F90" s="67" t="inlineStr">
        <is>
          <t>95-100%</t>
        </is>
      </c>
      <c r="G90" s="108" t="n"/>
      <c r="H90" s="62" t="n"/>
    </row>
    <row r="91" ht="18" customHeight="1" s="55">
      <c r="A91" s="62" t="inlineStr">
        <is>
          <t>Non-Compliance Rate</t>
        </is>
      </c>
      <c r="B91" s="70" t="inlineStr">
        <is>
          <t>&gt;20%</t>
        </is>
      </c>
      <c r="C91" s="70" t="inlineStr">
        <is>
          <t>10-20%</t>
        </is>
      </c>
      <c r="D91" s="69" t="inlineStr">
        <is>
          <t>5-10%</t>
        </is>
      </c>
      <c r="E91" s="68" t="inlineStr">
        <is>
          <t>2-5%</t>
        </is>
      </c>
      <c r="F91" s="67" t="inlineStr">
        <is>
          <t>&lt;2%</t>
        </is>
      </c>
      <c r="G91" s="108" t="n"/>
      <c r="H91" s="62" t="n"/>
    </row>
    <row r="92" ht="18" customHeight="1" s="55">
      <c r="A92" s="62" t="inlineStr">
        <is>
          <t>Mean Time to Approval</t>
        </is>
      </c>
      <c r="B92" s="70" t="inlineStr">
        <is>
          <t>&gt;20 days</t>
        </is>
      </c>
      <c r="C92" s="70" t="inlineStr">
        <is>
          <t>10-20 days</t>
        </is>
      </c>
      <c r="D92" s="69" t="inlineStr">
        <is>
          <t>5-10 days</t>
        </is>
      </c>
      <c r="E92" s="68" t="inlineStr">
        <is>
          <t>3-5 days</t>
        </is>
      </c>
      <c r="F92" s="67" t="inlineStr">
        <is>
          <t>&lt;3 days</t>
        </is>
      </c>
      <c r="G92" s="108" t="n"/>
      <c r="H92" s="62" t="n"/>
    </row>
    <row r="93" ht="18" customHeight="1" s="55">
      <c r="A93" s="62" t="inlineStr">
        <is>
          <t>Exception Rate</t>
        </is>
      </c>
      <c r="B93" s="70" t="inlineStr">
        <is>
          <t>&gt;30%</t>
        </is>
      </c>
      <c r="C93" s="70" t="inlineStr">
        <is>
          <t>15-30%</t>
        </is>
      </c>
      <c r="D93" s="69" t="inlineStr">
        <is>
          <t>8-15%</t>
        </is>
      </c>
      <c r="E93" s="68" t="inlineStr">
        <is>
          <t>3-8%</t>
        </is>
      </c>
      <c r="F93" s="67" t="inlineStr">
        <is>
          <t>&lt;3%</t>
        </is>
      </c>
      <c r="G93" s="108" t="n"/>
      <c r="H93" s="62" t="n"/>
    </row>
    <row r="94" ht="18" customHeight="1" s="55">
      <c r="A94" s="62" t="inlineStr">
        <is>
          <t>Prompt Injection Block Rate</t>
        </is>
      </c>
      <c r="B94" s="70" t="inlineStr">
        <is>
          <t>&lt;50%</t>
        </is>
      </c>
      <c r="C94" s="70" t="inlineStr">
        <is>
          <t>50-75%</t>
        </is>
      </c>
      <c r="D94" s="69" t="inlineStr">
        <is>
          <t>75-90%</t>
        </is>
      </c>
      <c r="E94" s="68" t="inlineStr">
        <is>
          <t>90-95%</t>
        </is>
      </c>
      <c r="F94" s="67" t="inlineStr">
        <is>
          <t>&gt;95%</t>
        </is>
      </c>
      <c r="G94" s="108" t="n"/>
      <c r="H94" s="62" t="n"/>
    </row>
    <row r="95" ht="18" customHeight="1" s="55">
      <c r="A95" s="62" t="inlineStr">
        <is>
          <t>Red Team Test Cadence</t>
        </is>
      </c>
      <c r="B95" s="70" t="inlineStr">
        <is>
          <t>Ad hoc</t>
        </is>
      </c>
      <c r="C95" s="70" t="inlineStr">
        <is>
          <t>Annual</t>
        </is>
      </c>
      <c r="D95" s="69" t="inlineStr">
        <is>
          <t>Quarterly</t>
        </is>
      </c>
      <c r="E95" s="68" t="inlineStr">
        <is>
          <t>Monthly</t>
        </is>
      </c>
      <c r="F95" s="67" t="inlineStr">
        <is>
          <t>Continuous</t>
        </is>
      </c>
      <c r="G95" s="108" t="n"/>
      <c r="H95" s="62" t="n"/>
    </row>
    <row r="97" ht="18" customHeight="1" s="55">
      <c r="A97" s="59" t="inlineStr">
        <is>
          <t>7. Workbook cross-references</t>
        </is>
      </c>
    </row>
    <row r="98" ht="18" customHeight="1" s="55">
      <c r="A98" s="62" t="inlineStr">
        <is>
          <t>Governance Guide</t>
        </is>
      </c>
      <c r="B98" s="62" t="inlineStr">
        <is>
          <t>Committee structure, approval workflow, enforcement, IR</t>
        </is>
      </c>
      <c r="C98" s="65" t="n"/>
      <c r="D98" s="65" t="n"/>
      <c r="E98" s="65" t="n"/>
      <c r="F98" s="65" t="n"/>
      <c r="G98" s="65" t="n"/>
      <c r="H98" s="66" t="n"/>
    </row>
    <row r="99" ht="18" customHeight="1" s="55">
      <c r="A99" s="62" t="inlineStr">
        <is>
          <t>Tool Registry</t>
        </is>
      </c>
      <c r="B99" s="62" t="inlineStr">
        <is>
          <t>Source data for inventory and status metrics</t>
        </is>
      </c>
      <c r="C99" s="65" t="n"/>
      <c r="D99" s="65" t="n"/>
      <c r="E99" s="65" t="n"/>
      <c r="F99" s="65" t="n"/>
      <c r="G99" s="65" t="n"/>
      <c r="H99" s="66" t="n"/>
    </row>
    <row r="100" ht="18" customHeight="1" s="55">
      <c r="A100" s="62" t="inlineStr">
        <is>
          <t>Guardrail Checklist</t>
        </is>
      </c>
      <c r="B100" s="62" t="inlineStr">
        <is>
          <t>Source data for verification rate metrics</t>
        </is>
      </c>
      <c r="C100" s="65" t="n"/>
      <c r="D100" s="65" t="n"/>
      <c r="E100" s="65" t="n"/>
      <c r="F100" s="65" t="n"/>
      <c r="G100" s="65" t="n"/>
      <c r="H100" s="66" t="n"/>
    </row>
    <row r="101" ht="18" customHeight="1" s="55">
      <c r="A101" s="62" t="inlineStr">
        <is>
          <t>Exception Tracker</t>
        </is>
      </c>
      <c r="B101" s="62" t="inlineStr">
        <is>
          <t>Source data for exception rate and renewal metrics</t>
        </is>
      </c>
      <c r="C101" s="65" t="n"/>
      <c r="D101" s="65" t="n"/>
      <c r="E101" s="65" t="n"/>
      <c r="F101" s="65" t="n"/>
      <c r="G101" s="65" t="n"/>
      <c r="H101" s="66" t="n"/>
    </row>
    <row r="102" ht="18" customHeight="1" s="55">
      <c r="A102" s="62" t="inlineStr">
        <is>
          <t>Compliance Mapping</t>
        </is>
      </c>
      <c r="B102" s="62" t="inlineStr">
        <is>
          <t>Framework requirements that drive metric selection</t>
        </is>
      </c>
      <c r="C102" s="65" t="n"/>
      <c r="D102" s="65" t="n"/>
      <c r="E102" s="65" t="n"/>
      <c r="F102" s="65" t="n"/>
      <c r="G102" s="65" t="n"/>
      <c r="H102" s="66" t="n"/>
    </row>
    <row r="103" ht="18" customHeight="1" s="55">
      <c r="A103" s="62" t="inlineStr">
        <is>
          <t>Tool Function Mapping</t>
        </is>
      </c>
      <c r="B103" s="62" t="inlineStr">
        <is>
          <t>Risk factors that drive metric thresholds</t>
        </is>
      </c>
      <c r="C103" s="65" t="n"/>
      <c r="D103" s="65" t="n"/>
      <c r="E103" s="65" t="n"/>
      <c r="F103" s="65" t="n"/>
      <c r="G103" s="65" t="n"/>
      <c r="H103" s="66" t="n"/>
    </row>
  </sheetData>
  <autoFilter ref="A9:H103"/>
  <mergeCells count="18">
    <mergeCell ref="B99:H99"/>
    <mergeCell ref="B101:H101"/>
    <mergeCell ref="A8:H8"/>
    <mergeCell ref="A3:H3"/>
    <mergeCell ref="A53:H53"/>
    <mergeCell ref="A83:H83"/>
    <mergeCell ref="B102:H102"/>
    <mergeCell ref="A5:H5"/>
    <mergeCell ref="A31:H31"/>
    <mergeCell ref="A85:H85"/>
    <mergeCell ref="B100:H100"/>
    <mergeCell ref="A66:H66"/>
    <mergeCell ref="A1:H1"/>
    <mergeCell ref="A75:H75"/>
    <mergeCell ref="B103:H103"/>
    <mergeCell ref="B98:H98"/>
    <mergeCell ref="A6:H6"/>
    <mergeCell ref="A97:H9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Jason Robbins</dc:creator>
  <dc:title xmlns:dc="http://purl.org/dc/elements/1.1/">AI Security Risk</dc:title>
  <dc:language xmlns:dc="http://purl.org/dc/elements/1.1/">en-US</dc:language>
  <dcterms:created xmlns:dcterms="http://purl.org/dc/terms/" xmlns:xsi="http://www.w3.org/2001/XMLSchema-instance" xsi:type="dcterms:W3CDTF">2025-12-08T16:42:01Z</dcterms:created>
  <dcterms:modified xmlns:dcterms="http://purl.org/dc/terms/" xmlns:xsi="http://www.w3.org/2001/XMLSchema-instance" xsi:type="dcterms:W3CDTF">2026-04-24T16:45:06Z</dcterms:modified>
  <cp:lastModifiedBy>Jason Robbins - IANS</cp:lastModifiedBy>
  <cp:revision>0</cp:revision>
</cp:coreProperties>
</file>
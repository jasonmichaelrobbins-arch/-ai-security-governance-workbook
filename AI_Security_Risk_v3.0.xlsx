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Org Profile" sheetId="2" state="visible" r:id="rId4"/>
    <sheet name="Tool Function Mapping" sheetId="3" state="visible" r:id="rId5"/>
    <sheet name="Guardrail Checklist" sheetId="4" state="visible" r:id="rId6"/>
    <sheet name="Intake Form" sheetId="5" state="visible" r:id="rId7"/>
    <sheet name="Tool Registry" sheetId="6" state="visible" r:id="rId8"/>
    <sheet name="Exception Tracker" sheetId="7" state="visible" r:id="rId9"/>
    <sheet name="AI Security Tool Landscape" sheetId="8" state="visible" r:id="rId10"/>
    <sheet name="Compliance Mapping" sheetId="9" state="visible" r:id="rId11"/>
    <sheet name="Lists" sheetId="10" state="hidden" r:id="rId12"/>
  </sheets>
  <definedNames>
    <definedName function="false" hidden="true" localSheetId="7" name="_xlnm._FilterDatabase" vbProcedure="false">'AI Security Tool Landscape'!$A$21:$J$128</definedName>
    <definedName function="false" hidden="true" localSheetId="8" name="_xlnm._FilterDatabase" vbProcedure="false">'Compliance Mapping'!$A$19:$L$84</definedName>
    <definedName function="false" hidden="true" localSheetId="6" name="_xlnm._FilterDatabase" vbProcedure="false">'Exception Tracker'!$A$25:$P$37</definedName>
    <definedName function="false" hidden="true" localSheetId="3" name="_xlnm._FilterDatabase" vbProcedure="false">'Guardrail Checklist'!$A$20:$K$88</definedName>
    <definedName function="false" hidden="true" localSheetId="2" name="_xlnm._FilterDatabase" vbProcedure="false">'Tool Function Mapping'!$A$30:$I$90</definedName>
    <definedName function="false" hidden="true" localSheetId="5" name="_xlnm._FilterDatabase" vbProcedure="false">'Tool Registry'!$A$16:$X$36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<sst xmlns="http://schemas.openxmlformats.org/spreadsheetml/2006/main" count="4307" uniqueCount="2471">
  <si>
    <t xml:space="preserve">AI Security Risk Workbook v3.0</t>
  </si>
  <si>
    <t xml:space="preserve">One workbook that holds your organization's AI risk program: who you are and what you own (Org Profile), how tools are classified (Tool Function Mapping), the controls you expect at each risk level (Guardrail Checklist), the intake a requester fills in, the registers you keep (Tool Registry, Exception Tracker), the vendor landscape for picking tools, and the compliance mapping that ties every guardrail to the frameworks you answer to. The companion skill, ai-tool-risk-assessment, reads this workbook and produces one AI Risk Assessment Record per request.</t>
  </si>
  <si>
    <t xml:space="preserve">Cream cells</t>
  </si>
  <si>
    <t xml:space="preserve">Yours to fill in or change. Many arrive with a starter value; change only what differs at your organization.</t>
  </si>
  <si>
    <t xml:space="preserve">Rose cells</t>
  </si>
  <si>
    <t xml:space="preserve">Do not edit. Column A holds the keys the skill reads, and the other rose cells are calculated.</t>
  </si>
  <si>
    <t xml:space="preserve">Risk and family colors</t>
  </si>
  <si>
    <t xml:space="preserve">Low is sage green, Medium pale yellow, High apricot, Severe terracotta. Each of the seven families keeps one muted hue across every tab. Agentic rows are lavender.</t>
  </si>
  <si>
    <t xml:space="preserve">Data classes</t>
  </si>
  <si>
    <t xml:space="preserve">Four data classes, fixed across the workbook: Public (Low), Internal (Medium), Confidential (High), Restricted (Severe: PII, PHI, payment, export-controlled or other regulated data, and data about minors). Used as written on the intake, the registry and every record.</t>
  </si>
  <si>
    <t xml:space="preserve">1. The tabs</t>
  </si>
  <si>
    <t xml:space="preserve">#</t>
  </si>
  <si>
    <t xml:space="preserve">Tab</t>
  </si>
  <si>
    <t xml:space="preserve">What it holds</t>
  </si>
  <si>
    <t xml:space="preserve">When you use it</t>
  </si>
  <si>
    <t xml:space="preserve">Who you are, your governance routing, the tools you own (one or more per family), the program rules every tool is held to, how records look</t>
  </si>
  <si>
    <t xml:space="preserve">Fill it in once. Every record reads it.</t>
  </si>
  <si>
    <t xml:space="preserve">The seven risk factors with their four levels, and 57 functions mapped to a risk level, the agentic flag, the guardrails each function requires and their families</t>
  </si>
  <si>
    <t xml:space="preserve">Classify a tool and list its functions; the functions decide the guardrails. Add functions of your own at the bottom.</t>
  </si>
  <si>
    <t xml:space="preserve">65 guardrails across seven families, each with the rule that puts it in scope (every tool, vendor products, or the functions that name it), the agentic flag, what to verify, what evidence proves it, and the control of yours that meets it</t>
  </si>
  <si>
    <t xml:space="preserve">The control library. The record lists the required guardrails at issue with their owner and control; the Verification sheet checks them after deployment.</t>
  </si>
  <si>
    <t xml:space="preserve">A request form that is multiple choice wherever the answer has a fixed shape: the tool, how it will be used, vendor documents, and the questions an internal build has to answer</t>
  </si>
  <si>
    <t xml:space="preserve">Copy it per request, or hand out the standalone file.</t>
  </si>
  <si>
    <t xml:space="preserve">Living inventory of AI tools with risk, owners, status and review dates</t>
  </si>
  <si>
    <t xml:space="preserve">Keep it current. Never delete a row; mark it Decommissioned.</t>
  </si>
  <si>
    <t xml:space="preserve">Exceptions for Severe-risk tools, guardrail deviations, emergency use, pilots and model versions, with renewals</t>
  </si>
  <si>
    <t xml:space="preserve">Whenever a tool runs outside policy for a time.</t>
  </si>
  <si>
    <t xml:space="preserve">The seven families and about 100 vendors mapped to primary, secondary and tertiary families, refreshed October 2026</t>
  </si>
  <si>
    <t xml:space="preserve">Picking a tool for a family you have no coverage in. A showcase, not a shortlist.</t>
  </si>
  <si>
    <t xml:space="preserve">Every guardrail mapped to CSA AICM, the EU AI Act, ISO/IEC 42001, MITRE ATLAS, NIST AI RMF, NIST AI 600-1, OWASP and SOC 2</t>
  </si>
  <si>
    <t xml:space="preserve">Audit evidence, and the citations the Verification sheet carries.</t>
  </si>
  <si>
    <t xml:space="preserve">2. How a request runs</t>
  </si>
  <si>
    <t xml:space="preserve">Step</t>
  </si>
  <si>
    <t xml:space="preserve">What happens</t>
  </si>
  <si>
    <t xml:space="preserve">1. Intake</t>
  </si>
  <si>
    <t xml:space="preserve">The requester fills the Intake Form, or answers the same questions in chat. The tool name and the kind of request are the only required answers.</t>
  </si>
  <si>
    <t xml:space="preserve">2. Research or discovery</t>
  </si>
  <si>
    <t xml:space="preserve">A vendor product is researched from its trust center, ISO/IEC 42001 certificate, AI terms, DPA and documentation. A vendor adding AI to a product you already use starts from the existing registry entry and what changed. An internal build has no public pages, so the engineering owner answers section 4 of the intake.</t>
  </si>
  <si>
    <t xml:space="preserve">3. Classify and threat model</t>
  </si>
  <si>
    <t xml:space="preserve">Score the seven risk factors on the Tool Function Mapping tab. The highest factor sets the level. Any autonomous action sets the agentic flag. List the functions the tool performs. Walk STRIDE and the lethal trifecta against the tool.</t>
  </si>
  <si>
    <t xml:space="preserve">4. Required guardrails</t>
  </si>
  <si>
    <t xml:space="preserve">The required list is the union of what the tool's functions require, plus the Guardrail Checklist rows marked Every tool (the program's own steps) and, for anything bought, Vendor products. The risk level routes the decision; it does not add guardrails. Each line carries its owner (the vendor, you, or both) and the control that meets it: the vendor's feature or your own tool from Org Profile section 3 and the Guardrail Checklist tab. A guardrail nothing meets is a Gap, and every Gap is a finding.</t>
  </si>
  <si>
    <t xml:space="preserve">5. Issue and decide</t>
  </si>
  <si>
    <t xml:space="preserve">The record is issued with its open items (gaps, unknowns, findings due before a decision, questions outstanding) and a blank decision block. It drafts up to four questions for the vendor or the requester, only where an answer would move a risk factor. The approver the Org Profile names for the level records the decision, its conditions and the risk acceptance in the record itself.</t>
  </si>
  <si>
    <t xml:space="preserve">6. Register</t>
  </si>
  <si>
    <t xml:space="preserve">The approved tool goes on the Tool Registry with its review cadence. Anything running outside policy goes on the Exception Tracker.</t>
  </si>
  <si>
    <t xml:space="preserve">7. Verify after deployment</t>
  </si>
  <si>
    <t xml:space="preserve">Once the tool is live, the verifier walks the Verification sheet in the record file, collects the evidence for each required guardrail and marks Pass or Fail. Security approved the tool with guardrails; this is where it confirms they were put in place.</t>
  </si>
  <si>
    <t xml:space="preserve">3. Risk levels at a glance</t>
  </si>
  <si>
    <t xml:space="preserve">Read from Org Profile section 2. Change them there.</t>
  </si>
  <si>
    <t xml:space="preserve">Risk level</t>
  </si>
  <si>
    <t xml:space="preserve">Approved by</t>
  </si>
  <si>
    <t xml:space="preserve">Reviewed</t>
  </si>
  <si>
    <t xml:space="preserve">Residual risk accepted by</t>
  </si>
  <si>
    <t xml:space="preserve">Low</t>
  </si>
  <si>
    <t xml:space="preserve">Medium</t>
  </si>
  <si>
    <t xml:space="preserve">High</t>
  </si>
  <si>
    <t xml:space="preserve">Severe</t>
  </si>
  <si>
    <t xml:space="preserve">4. Version history</t>
  </si>
  <si>
    <t xml:space="preserve">Version</t>
  </si>
  <si>
    <t xml:space="preserve">Date</t>
  </si>
  <si>
    <t xml:space="preserve">Changes</t>
  </si>
  <si>
    <t xml:space="preserve">v3.0</t>
  </si>
  <si>
    <t xml:space="preserve">2026-10-14</t>
  </si>
  <si>
    <t xml:space="preserve">Rebuilt in the program-workbook layout: Org Profile with keys the skill reads, the function and guardrail libraries as tables, a multiple-choice intake that handles vendor products, vendor-added AI and internal builds, the registry and exception tracker kept with small updates, a refreshed landscape (about 100 vendors, statuses through September 2026), and a compliance mapping of every guardrail to eight framework columns with no blank cells. Four fixed data classes. One or more tools per guardrail. Guardrails are required by the functions a tool performs, plus a short every-tool baseline, rather than by risk level. Added two agentic guardrails (agent behavior monitoring, agent memory protection). Records are issued as the security team's assessment with a blank decision block for the approver, list required guardrails with owner, status and control, map the organization's tools against the tool's functions, and carry a Verification sheet for the manual check after deployment and a Coverage data sheet for the program metrics. Program Metrics, User Guide and Governance Guide retired; their settings moved into Org Profile.</t>
  </si>
  <si>
    <t xml:space="preserve">v2.0</t>
  </si>
  <si>
    <t xml:space="preserve">2026-04-23</t>
  </si>
  <si>
    <t xml:space="preserve">57 functions, 63 guardrails with agentic dual-tagging, 88 vendors, 21 compliance frameworks, muted palette.</t>
  </si>
  <si>
    <t xml:space="preserve">v1.3</t>
  </si>
  <si>
    <t xml:space="preserve">2026-02</t>
  </si>
  <si>
    <t xml:space="preserve">17 new vendors, 6 agentic guardrails, 4 new functions, updated mappings.</t>
  </si>
  <si>
    <t xml:space="preserve">v1.0</t>
  </si>
  <si>
    <t xml:space="preserve">2025-01</t>
  </si>
  <si>
    <t xml:space="preserve">Initial release: 58 vendors, 40 guardrails, 41 functions.</t>
  </si>
  <si>
    <t xml:space="preserve">Last updated 2026-10-14. Owner: your security and risk function (edit on the Org Profile tab). Copyright 2026 Jason Robbins. Licensed under the Apache License, Version 2.0; the LICENSE and NOTICE files travel with the workbook. Vendor and product names identify products and do not imply endorsement.</t>
  </si>
  <si>
    <t xml:space="preserve">AI Security Risk Workbook: Org Profile</t>
  </si>
  <si>
    <t xml:space="preserve">Start here. This tab is what makes every assessment yours: your context, your routing, the tools you already own and the rules every new tool is held to. Fill it in once and keep it current. The skill reads it by the keys in column A, never by position, so you can add rows and reorder sections.</t>
  </si>
  <si>
    <t xml:space="preserve">Yours to fill in. Pick from the list where a cell has one, and write None or Unknown where that is the honest answer.</t>
  </si>
  <si>
    <t xml:space="preserve">Do not edit. Column A holds the keys the skill reads. Copy the key when you add a row of the same kind.</t>
  </si>
  <si>
    <t xml:space="preserve">Completion</t>
  </si>
  <si>
    <t xml:space="preserve">1. Scope of this workbook</t>
  </si>
  <si>
    <t xml:space="preserve">Key</t>
  </si>
  <si>
    <t xml:space="preserve">Field</t>
  </si>
  <si>
    <t xml:space="preserve">Your answer</t>
  </si>
  <si>
    <t xml:space="preserve">How to answer</t>
  </si>
  <si>
    <t xml:space="preserve">Example</t>
  </si>
  <si>
    <t xml:space="preserve">org.name</t>
  </si>
  <si>
    <t xml:space="preserve">Organization or business unit this workbook covers</t>
  </si>
  <si>
    <t xml:space="preserve">One workbook per program. Where a business unit runs its own AI program with different rules, give it its own copy.</t>
  </si>
  <si>
    <t xml:space="preserve">Northfield Health, corporate IT</t>
  </si>
  <si>
    <t xml:space="preserve">org.industry</t>
  </si>
  <si>
    <t xml:space="preserve">Industry</t>
  </si>
  <si>
    <t xml:space="preserve">Sets the regulatory context the skill reads AI evidence against.</t>
  </si>
  <si>
    <t xml:space="preserve">Healthcare delivery</t>
  </si>
  <si>
    <t xml:space="preserve">org.regulators</t>
  </si>
  <si>
    <t xml:space="preserve">Regulations and contracts that bear on your AI use</t>
  </si>
  <si>
    <t xml:space="preserve">Comma-separated. Write None if nothing applies. The skill cites these when a gap touches a regulated requirement.</t>
  </si>
  <si>
    <t xml:space="preserve">HIPAA, state privacy law, EU AI Act as a deployer</t>
  </si>
  <si>
    <t xml:space="preserve">org.frameworks</t>
  </si>
  <si>
    <t xml:space="preserve">Frameworks you report or certify against</t>
  </si>
  <si>
    <t xml:space="preserve">Pick from the eight columns on the Compliance Mapping tab: CSA AICM, EU AI Act, ISO/IEC 42001, MITRE ATLAS, NIST AI RMF, NIST AI 600-1, OWASP, SOC 2. Comma-separated. The Verification sheet of every record cites these and leaves the others out.</t>
  </si>
  <si>
    <t xml:space="preserve">SOC 2, NIST AI RMF, ISO/IEC 42001</t>
  </si>
  <si>
    <t xml:space="preserve">org.customer_commitments</t>
  </si>
  <si>
    <t xml:space="preserve">Customer contract commitments that bear on AI</t>
  </si>
  <si>
    <t xml:space="preserve">No AI training on client data, residency, notice windows, audit rights. Write None if nothing applies. What you owe your customers, you need from the tools that touch their data.</t>
  </si>
  <si>
    <t xml:space="preserve">No AI training on client data; US-only processing</t>
  </si>
  <si>
    <t xml:space="preserve">org.scope_boundary</t>
  </si>
  <si>
    <t xml:space="preserve">What this program covers</t>
  </si>
  <si>
    <t xml:space="preserve">Name the boundary so nobody assumes coverage that is not there.</t>
  </si>
  <si>
    <t xml:space="preserve">Every AI tool, feature and agent staff or systems use</t>
  </si>
  <si>
    <t xml:space="preserve">org.scope_notes</t>
  </si>
  <si>
    <t xml:space="preserve">What sits outside the boundary, and who accepted that</t>
  </si>
  <si>
    <t xml:space="preserve">Consumer AI on personal devices, AI features in SaaS the business buys on a card, research use. Say who signed.</t>
  </si>
  <si>
    <t xml:space="preserve">Consumer AI on personal devices is out. Accepted by the CIO, March 2026.</t>
  </si>
  <si>
    <t xml:space="preserve">org.ai_policy</t>
  </si>
  <si>
    <t xml:space="preserve">AI acceptable-use policy</t>
  </si>
  <si>
    <t xml:space="preserve">The policy every approval is checked against.</t>
  </si>
  <si>
    <t xml:space="preserve">Published</t>
  </si>
  <si>
    <t xml:space="preserve">org.ai_policy_location</t>
  </si>
  <si>
    <t xml:space="preserve">Where the policy lives</t>
  </si>
  <si>
    <t xml:space="preserve">A link or a document name. Write None if there is no policy yet.</t>
  </si>
  <si>
    <t xml:space="preserve">Policy portal, AI-AUP-001</t>
  </si>
  <si>
    <t xml:space="preserve">2. Governance and routing</t>
  </si>
  <si>
    <t xml:space="preserve">Every row arrives with a starter value. Change what differs at your organization. The quick references on the Start Here, Tool Function Mapping and Tool Registry tabs read these cells, so there is one place to change each thing.</t>
  </si>
  <si>
    <t xml:space="preserve">gov.owner</t>
  </si>
  <si>
    <t xml:space="preserve">AI governance program owner (name or role)</t>
  </si>
  <si>
    <t xml:space="preserve">If there is none yet, say who is covering.</t>
  </si>
  <si>
    <t xml:space="preserve">Director of Security Governance</t>
  </si>
  <si>
    <t xml:space="preserve">gov.sponsor</t>
  </si>
  <si>
    <t xml:space="preserve">Executive sponsor</t>
  </si>
  <si>
    <t xml:space="preserve">The person who would chair a governance review.</t>
  </si>
  <si>
    <t xml:space="preserve">CISO</t>
  </si>
  <si>
    <t xml:space="preserve">gov.committee</t>
  </si>
  <si>
    <t xml:space="preserve">Standing AI governance committee or review board</t>
  </si>
  <si>
    <t xml:space="preserve">Yes only if it meets on a cadence and records decisions.</t>
  </si>
  <si>
    <t xml:space="preserve">Yes</t>
  </si>
  <si>
    <t xml:space="preserve">gov.committee_members</t>
  </si>
  <si>
    <t xml:space="preserve">What it is called and who sits on it</t>
  </si>
  <si>
    <t xml:space="preserve">Roles are enough.</t>
  </si>
  <si>
    <t xml:space="preserve">AI Review Board: CISO, CIO, Privacy, Legal, Data, Engineering</t>
  </si>
  <si>
    <t xml:space="preserve">gov.approve_low</t>
  </si>
  <si>
    <t xml:space="preserve">Who approves a Low-risk tool</t>
  </si>
  <si>
    <t xml:space="preserve">Security reviewer</t>
  </si>
  <si>
    <t xml:space="preserve">Standard approval. One person, usually the reviewer who ran the assessment.</t>
  </si>
  <si>
    <t xml:space="preserve">gov.approve_medium</t>
  </si>
  <si>
    <t xml:space="preserve">Who approves a Medium-risk tool</t>
  </si>
  <si>
    <t xml:space="preserve">Department lead with security review</t>
  </si>
  <si>
    <t xml:space="preserve">gov.approve_high</t>
  </si>
  <si>
    <t xml:space="preserve">Who approves a High-risk tool</t>
  </si>
  <si>
    <t xml:space="preserve">AI governance committee</t>
  </si>
  <si>
    <t xml:space="preserve">gov.approve_severe</t>
  </si>
  <si>
    <t xml:space="preserve">Who approves a Severe-risk tool</t>
  </si>
  <si>
    <t xml:space="preserve">Exception only: CISO and the committee, with an executive sponsor</t>
  </si>
  <si>
    <t xml:space="preserve">Severe-risk tools are prohibited by default. An exception is time-bounded and tracked on the Exception Tracker tab.</t>
  </si>
  <si>
    <t xml:space="preserve">gov.review_low</t>
  </si>
  <si>
    <t xml:space="preserve">How often a Low-risk tool is reviewed</t>
  </si>
  <si>
    <t xml:space="preserve">Yearly</t>
  </si>
  <si>
    <t xml:space="preserve">gov.review_medium</t>
  </si>
  <si>
    <t xml:space="preserve">How often a Medium-risk tool is reviewed</t>
  </si>
  <si>
    <t xml:space="preserve">Every six months</t>
  </si>
  <si>
    <t xml:space="preserve">gov.review_high</t>
  </si>
  <si>
    <t xml:space="preserve">How often a High-risk tool is reviewed</t>
  </si>
  <si>
    <t xml:space="preserve">Quarterly</t>
  </si>
  <si>
    <t xml:space="preserve">gov.review_severe</t>
  </si>
  <si>
    <t xml:space="preserve">How often a Severe-risk tool is reviewed</t>
  </si>
  <si>
    <t xml:space="preserve">Monthly</t>
  </si>
  <si>
    <t xml:space="preserve">gov.accept_low</t>
  </si>
  <si>
    <t xml:space="preserve">Who accepts residual risk at Low and Medium</t>
  </si>
  <si>
    <t xml:space="preserve">The business owner of the use case</t>
  </si>
  <si>
    <t xml:space="preserve">Acceptance belongs to someone who owns both the value and the loss. The record names the role, never a reviewer.</t>
  </si>
  <si>
    <t xml:space="preserve">gov.accept_high</t>
  </si>
  <si>
    <t xml:space="preserve">Who accepts residual risk at High</t>
  </si>
  <si>
    <t xml:space="preserve">The business unit head</t>
  </si>
  <si>
    <t xml:space="preserve">gov.accept_severe</t>
  </si>
  <si>
    <t xml:space="preserve">Who accepts residual risk at Severe</t>
  </si>
  <si>
    <t xml:space="preserve">A named executive, with the exception on record</t>
  </si>
  <si>
    <t xml:space="preserve">gov.exception_approver</t>
  </si>
  <si>
    <t xml:space="preserve">Who approves exceptions to your own AI policy or standard</t>
  </si>
  <si>
    <t xml:space="preserve">An exception is a recorded, temporary departure from your own policy, usually with compensating controls. A different role from the one that accepts risk.</t>
  </si>
  <si>
    <t xml:space="preserve">gov.reviewer</t>
  </si>
  <si>
    <t xml:space="preserve">Who signs that an assessment is complete</t>
  </si>
  <si>
    <t xml:space="preserve">The security function confirming the work was done at the depth required. Separate from accepting risk.</t>
  </si>
  <si>
    <t xml:space="preserve">AI security lead</t>
  </si>
  <si>
    <t xml:space="preserve">gov.verifier</t>
  </si>
  <si>
    <t xml:space="preserve">Who verifies the guardrails after deployment</t>
  </si>
  <si>
    <t xml:space="preserve">The person or team that walks the Verification sheet once the tool is live, collects the evidence and marks Pass or Fail.</t>
  </si>
  <si>
    <t xml:space="preserve">Security engineering</t>
  </si>
  <si>
    <t xml:space="preserve">gov.human_check</t>
  </si>
  <si>
    <t xml:space="preserve">Who checks an AI-drafted record before it counts</t>
  </si>
  <si>
    <t xml:space="preserve">A named role. The check covers the evidence and the factor scores, not only the conclusion.</t>
  </si>
  <si>
    <t xml:space="preserve">gov.triage_by</t>
  </si>
  <si>
    <t xml:space="preserve">Who answers intake questions about a tool</t>
  </si>
  <si>
    <t xml:space="preserve">The requester</t>
  </si>
  <si>
    <t xml:space="preserve">The requester is the usual answer: the person asking for the tool, who knows how it will be used. For an internal build, the engineering owner answers the build questions.</t>
  </si>
  <si>
    <t xml:space="preserve">gov.risk_appetite</t>
  </si>
  <si>
    <t xml:space="preserve">Documented AI risk appetite or tolerance statement</t>
  </si>
  <si>
    <t xml:space="preserve">None</t>
  </si>
  <si>
    <t xml:space="preserve">Where one exists, acceptances are judged against it. Most organizations have none, which makes every acceptance a judgment call. Write None.</t>
  </si>
  <si>
    <t xml:space="preserve">gov.reclass_triggers</t>
  </si>
  <si>
    <t xml:space="preserve">Events that trigger a reassessment outside the cadence</t>
  </si>
  <si>
    <t xml:space="preserve">Vendor security incident; scope expansion; model version change; vendor acquisition; new connector or MCP server; regulatory change; user complaint or near miss</t>
  </si>
  <si>
    <t xml:space="preserve">Any of these starts a reassessment whatever the cadence says. Edit the list.</t>
  </si>
  <si>
    <t xml:space="preserve">The starter list</t>
  </si>
  <si>
    <t xml:space="preserve">gov.kill_switch</t>
  </si>
  <si>
    <t xml:space="preserve">Who can disable a tool or agent immediately, and how</t>
  </si>
  <si>
    <t xml:space="preserve">Security analyst on call, through the identity provider and the AI gateway</t>
  </si>
  <si>
    <t xml:space="preserve">The record names this on every High and Severe tool. If the honest answer is nobody, write that.</t>
  </si>
  <si>
    <t xml:space="preserve">3. Tools you already own</t>
  </si>
  <si>
    <t xml:space="preserve">Write the product names, or None. More than one tool can do guardrail duty: list every one that does, separated by commas. The skill uses your names in every record: the SIEM the logs go to, the vault the secrets live in, the DLP that covers the prompts. The seven family rows are the default for "Control that meets it" on a record; the Guardrail Checklist tab has an optional "Your control" column for naming the tool or mechanism per guardrail where the family row is too coarse. Where a family is None, the record says so and points at the AI Security Tool Landscape tab.</t>
  </si>
  <si>
    <t xml:space="preserve">tools.idp</t>
  </si>
  <si>
    <t xml:space="preserve">Identity provider or SSO</t>
  </si>
  <si>
    <t xml:space="preserve">Where users and, increasingly, agents get an identity.</t>
  </si>
  <si>
    <t xml:space="preserve">Microsoft Entra ID</t>
  </si>
  <si>
    <t xml:space="preserve">tools.pam</t>
  </si>
  <si>
    <t xml:space="preserve">Privileged access management</t>
  </si>
  <si>
    <t xml:space="preserve">CyberArk (Palo Alto Networks)</t>
  </si>
  <si>
    <t xml:space="preserve">tools.secrets</t>
  </si>
  <si>
    <t xml:space="preserve">Secrets vault</t>
  </si>
  <si>
    <t xml:space="preserve">HashiCorp Vault</t>
  </si>
  <si>
    <t xml:space="preserve">tools.siem</t>
  </si>
  <si>
    <t xml:space="preserve">SIEM</t>
  </si>
  <si>
    <t xml:space="preserve">Where AI tool logs are expected to land.</t>
  </si>
  <si>
    <t xml:space="preserve">Microsoft Sentinel</t>
  </si>
  <si>
    <t xml:space="preserve">tools.dlp</t>
  </si>
  <si>
    <t xml:space="preserve">DLP, CASB or SSE</t>
  </si>
  <si>
    <t xml:space="preserve">The control that sees prompts, uploads and personal accounts.</t>
  </si>
  <si>
    <t xml:space="preserve">Microsoft Purview, Zscaler</t>
  </si>
  <si>
    <t xml:space="preserve">tools.edr</t>
  </si>
  <si>
    <t xml:space="preserve">Endpoint protection</t>
  </si>
  <si>
    <t xml:space="preserve">CrowdStrike Falcon</t>
  </si>
  <si>
    <t xml:space="preserve">tools.gateway</t>
  </si>
  <si>
    <t xml:space="preserve">AI gateway or LLM proxy</t>
  </si>
  <si>
    <t xml:space="preserve">The one place to put rate limits, logging and model pinning. Write None if there is no gateway yet.</t>
  </si>
  <si>
    <t xml:space="preserve">tools.ticketing</t>
  </si>
  <si>
    <t xml:space="preserve">Ticketing or intake tool</t>
  </si>
  <si>
    <t xml:space="preserve">Where a request and its dates live.</t>
  </si>
  <si>
    <t xml:space="preserve">ServiceNow</t>
  </si>
  <si>
    <t xml:space="preserve">tools.grc</t>
  </si>
  <si>
    <t xml:space="preserve">GRC platform</t>
  </si>
  <si>
    <t xml:space="preserve">tools.evidence_store</t>
  </si>
  <si>
    <t xml:space="preserve">Where assessment records and evidence are filed</t>
  </si>
  <si>
    <t xml:space="preserve">SharePoint, one folder per tool</t>
  </si>
  <si>
    <t xml:space="preserve">tools.code</t>
  </si>
  <si>
    <t xml:space="preserve">Code repository and CI</t>
  </si>
  <si>
    <t xml:space="preserve">Matters for internal builds and coding agents.</t>
  </si>
  <si>
    <t xml:space="preserve">GitHub Enterprise with Actions</t>
  </si>
  <si>
    <t xml:space="preserve">tools.cloud</t>
  </si>
  <si>
    <t xml:space="preserve">Primary cloud or clouds</t>
  </si>
  <si>
    <t xml:space="preserve">Azure and AWS</t>
  </si>
  <si>
    <t xml:space="preserve">fam.posture</t>
  </si>
  <si>
    <t xml:space="preserve">AI Posture &amp; Governance: your tools</t>
  </si>
  <si>
    <t xml:space="preserve">AI-SPM, inventory, governance platform. One or more, or None.</t>
  </si>
  <si>
    <t xml:space="preserve">Microsoft Defender for Cloud</t>
  </si>
  <si>
    <t xml:space="preserve">fam.runtime</t>
  </si>
  <si>
    <t xml:space="preserve">Runtime Protection &amp; Guardrails: your tools</t>
  </si>
  <si>
    <t xml:space="preserve">Prompt injection and jailbreak defense, output filtering, content safety. One or more, or None.</t>
  </si>
  <si>
    <t xml:space="preserve">Azure AI Content Safety, Lakera (Check Point)</t>
  </si>
  <si>
    <t xml:space="preserve">fam.discovery</t>
  </si>
  <si>
    <t xml:space="preserve">Shadow AI &amp; Usage Discovery: your tools</t>
  </si>
  <si>
    <t xml:space="preserve">Where unsanctioned AI use shows up. Often the CASB or SSE. One or more, or None.</t>
  </si>
  <si>
    <t xml:space="preserve">Zscaler</t>
  </si>
  <si>
    <t xml:space="preserve">fam.observability</t>
  </si>
  <si>
    <t xml:space="preserve">Observability &amp; Evaluation: your tools</t>
  </si>
  <si>
    <t xml:space="preserve">LLM observability, evaluation, red-team tooling. One or more, or None.</t>
  </si>
  <si>
    <t xml:space="preserve">Datadog, Promptfoo</t>
  </si>
  <si>
    <t xml:space="preserve">fam.data</t>
  </si>
  <si>
    <t xml:space="preserve">Data Protection for AI: your tools</t>
  </si>
  <si>
    <t xml:space="preserve">DSPM or DLP tuned for AI flows. One or more, or None.</t>
  </si>
  <si>
    <t xml:space="preserve">Microsoft Purview, Cyera</t>
  </si>
  <si>
    <t xml:space="preserve">fam.nhi</t>
  </si>
  <si>
    <t xml:space="preserve">NHI &amp; Agentic Access: your tools</t>
  </si>
  <si>
    <t xml:space="preserve">Agent identity, service account governance, secrets. One or more, or None.</t>
  </si>
  <si>
    <t xml:space="preserve">Entra Agent ID, CyberArk, HashiCorp Vault</t>
  </si>
  <si>
    <t xml:space="preserve">fam.supply</t>
  </si>
  <si>
    <t xml:space="preserve">AI Supply Chain: your tools</t>
  </si>
  <si>
    <t xml:space="preserve">Model scanning, AI-BOM, MCP registry. One or more, or None.</t>
  </si>
  <si>
    <t xml:space="preserve">Snyk</t>
  </si>
  <si>
    <t xml:space="preserve">4. Program rules</t>
  </si>
  <si>
    <t xml:space="preserve">The positions every new tool is held to. Each assessment stands on its own; nothing here is a list of what was approved before.</t>
  </si>
  <si>
    <t xml:space="preserve">ai.mcp_policy</t>
  </si>
  <si>
    <t xml:space="preserve">MCP server policy</t>
  </si>
  <si>
    <t xml:space="preserve">Vendor-signed servers only</t>
  </si>
  <si>
    <t xml:space="preserve">Which MCP servers an agent may load. The function library treats community and custom servers as High and Severe until reviewed.</t>
  </si>
  <si>
    <t xml:space="preserve">ai.training_position</t>
  </si>
  <si>
    <t xml:space="preserve">Required position on training with your data</t>
  </si>
  <si>
    <t xml:space="preserve">No training on our data, in writing, at every plan</t>
  </si>
  <si>
    <t xml:space="preserve">The record rates a tool against this.</t>
  </si>
  <si>
    <t xml:space="preserve">ai.data_ceiling</t>
  </si>
  <si>
    <t xml:space="preserve">Highest data class allowed in an approved AI tool without an exception</t>
  </si>
  <si>
    <t xml:space="preserve">Confidential</t>
  </si>
  <si>
    <t xml:space="preserve">Four data classes, fixed across the workbook: Public (Low), Internal (Medium), Confidential (High), Restricted (Severe: PII, PHI, payment, export-controlled or other regulated data, and data about minors). A request above the ceiling is routed as Severe and needs an exception.</t>
  </si>
  <si>
    <t xml:space="preserve">ai.autonomy_ceiling</t>
  </si>
  <si>
    <t xml:space="preserve">Highest agent autonomy allowed without an exception</t>
  </si>
  <si>
    <t xml:space="preserve">Autonomous within an allowlist; a person approves Severe actions only</t>
  </si>
  <si>
    <t xml:space="preserve">The seventh risk factor. A request above the ceiling is routed as Severe.</t>
  </si>
  <si>
    <t xml:space="preserve">ai.build_gate</t>
  </si>
  <si>
    <t xml:space="preserve">What an internal build needs before production</t>
  </si>
  <si>
    <t xml:space="preserve">Threat model, an evaluation run against the use case, a red-team pass at High and Severe, and a Tool Registry entry</t>
  </si>
  <si>
    <t xml:space="preserve">The conditions every internal build carries. Edit to match your SDLC.</t>
  </si>
  <si>
    <t xml:space="preserve">5. Rules for AI use on vendor documents</t>
  </si>
  <si>
    <t xml:space="preserve">Vendor reports often come with usage limits: an NDA, a named-person portal, a read-only viewer, or a clause that bars AI processing. These two rows tell the skill what it may read.</t>
  </si>
  <si>
    <t xml:space="preserve">docs.approved_tools</t>
  </si>
  <si>
    <t xml:space="preserve">AI tools approved for vendor documents</t>
  </si>
  <si>
    <t xml:space="preserve">Name the tenant or product where vendor reports may be processed.</t>
  </si>
  <si>
    <t xml:space="preserve">Enterprise tenant only, no consumer tools</t>
  </si>
  <si>
    <t xml:space="preserve">docs.restricted_default</t>
  </si>
  <si>
    <t xml:space="preserve">What happens when a vendor document carries usage limits</t>
  </si>
  <si>
    <t xml:space="preserve">Keep on a manual review path</t>
  </si>
  <si>
    <t xml:space="preserve">The manual path is the cautious choice: a person reads the document and passes back a short checklist.</t>
  </si>
  <si>
    <t xml:space="preserve">6. Your records</t>
  </si>
  <si>
    <t xml:space="preserve">How assessment records look and read. Every row has a working default, so change only what you want changed.</t>
  </si>
  <si>
    <t xml:space="preserve">out.term</t>
  </si>
  <si>
    <t xml:space="preserve">What you call the thing assessed</t>
  </si>
  <si>
    <t xml:space="preserve">AI tool</t>
  </si>
  <si>
    <t xml:space="preserve">AI tool, AI system, use case or application. Used in the record labels.</t>
  </si>
  <si>
    <t xml:space="preserve">out.format</t>
  </si>
  <si>
    <t xml:space="preserve">Record format</t>
  </si>
  <si>
    <t xml:space="preserve">Excel record</t>
  </si>
  <si>
    <t xml:space="preserve">The Excel record is built by a script and looks the same every time. The other two carry the same sections.</t>
  </si>
  <si>
    <t xml:space="preserve">out.file_pattern</t>
  </si>
  <si>
    <t xml:space="preserve">File name pattern</t>
  </si>
  <si>
    <t xml:space="preserve">AI_Risk_Assessment_&lt;Tool&gt;_&lt;YYYY-MM-DD&gt;.xlsx</t>
  </si>
  <si>
    <t xml:space="preserve">The tool name is written in letters, digits and underscores only.</t>
  </si>
  <si>
    <t xml:space="preserve">out.id_pattern</t>
  </si>
  <si>
    <t xml:space="preserve">Record ID pattern</t>
  </si>
  <si>
    <t xml:space="preserve">AIR-&lt;YYYY&gt;-&lt;TOOL&gt;</t>
  </si>
  <si>
    <t xml:space="preserve">A second pass on the same tool keeps the ID and takes a new date.</t>
  </si>
  <si>
    <t xml:space="preserve">out.title_color</t>
  </si>
  <si>
    <t xml:space="preserve">Title bar color</t>
  </si>
  <si>
    <t xml:space="preserve">1F3864</t>
  </si>
  <si>
    <t xml:space="preserve">Six-character hex code.</t>
  </si>
  <si>
    <t xml:space="preserve">out.section_color</t>
  </si>
  <si>
    <t xml:space="preserve">Section header color</t>
  </si>
  <si>
    <t xml:space="preserve">305496</t>
  </si>
  <si>
    <t xml:space="preserve">out.header_color</t>
  </si>
  <si>
    <t xml:space="preserve">Table header color</t>
  </si>
  <si>
    <t xml:space="preserve">D9E1F2</t>
  </si>
  <si>
    <t xml:space="preserve">out.font</t>
  </si>
  <si>
    <t xml:space="preserve">Font</t>
  </si>
  <si>
    <t xml:space="preserve">Arial</t>
  </si>
  <si>
    <t xml:space="preserve">out.footer</t>
  </si>
  <si>
    <t xml:space="preserve">Footer line on every record</t>
  </si>
  <si>
    <t xml:space="preserve">For example: Internal use. Vendor evidence may be covered by an NDA. Write None for no footer.</t>
  </si>
  <si>
    <t xml:space="preserve">out.added_steps</t>
  </si>
  <si>
    <t xml:space="preserve">Steps your process adds to every assessment</t>
  </si>
  <si>
    <t xml:space="preserve">For example: privacy review for any tool holding Restricted data, legal review before signature. They appear as conditions on every record.</t>
  </si>
  <si>
    <t xml:space="preserve">out.question_cap</t>
  </si>
  <si>
    <t xml:space="preserve">Most questions sent to the vendor or the requester on one record</t>
  </si>
  <si>
    <t xml:space="preserve">A question is drafted only where an answer would move a risk factor up or down. Zero questions is a valid record.</t>
  </si>
  <si>
    <t xml:space="preserve">4</t>
  </si>
  <si>
    <t xml:space="preserve">AI Security Risk Workbook: Tool Function Mapping</t>
  </si>
  <si>
    <t xml:space="preserve">Classify a tool by the seven risk factors, then list every function it performs. Each function rolls up to a risk level, the agentic flag, the guardrails it requires and the families those guardrails live in. The skill reads both tables by the keys in column A.</t>
  </si>
  <si>
    <t xml:space="preserve">The factor wording, the function rows and the three blank rows at the bottom are yours to change or add to.</t>
  </si>
  <si>
    <t xml:space="preserve">Keys the skill reads, and the routing quick reference calculated from Org Profile.</t>
  </si>
  <si>
    <t xml:space="preserve">1. Risk classification criteria</t>
  </si>
  <si>
    <t xml:space="preserve">Score each factor. The highest-rated factor sets the overall risk level. Agent autonomy drives the agentic flag: anything above "no autonomy" picks up every agentic guardrail whatever the level. Reword a level to fit your environment; keep the four names.</t>
  </si>
  <si>
    <t xml:space="preserve">table:risk.factors</t>
  </si>
  <si>
    <t xml:space="preserve">Risk factor</t>
  </si>
  <si>
    <t xml:space="preserve">risk.factors</t>
  </si>
  <si>
    <t xml:space="preserve">Data sensitivity</t>
  </si>
  <si>
    <t xml:space="preserve">Public: information anyone may see</t>
  </si>
  <si>
    <t xml:space="preserve">Internal: company information that is not sensitive</t>
  </si>
  <si>
    <t xml:space="preserve">Confidential: trade secrets, IP, internal strategy, customer business data</t>
  </si>
  <si>
    <t xml:space="preserve">Restricted: PII, PHI, payment, export-controlled or other regulated data; data about minors</t>
  </si>
  <si>
    <t xml:space="preserve">Access permissions</t>
  </si>
  <si>
    <t xml:space="preserve">Read-only, scoped</t>
  </si>
  <si>
    <t xml:space="preserve">Limited write to scoped resources</t>
  </si>
  <si>
    <t xml:space="preserve">Full read and write on production resources</t>
  </si>
  <si>
    <t xml:space="preserve">Admin, root or infrastructure control</t>
  </si>
  <si>
    <t xml:space="preserve">Integration depth</t>
  </si>
  <si>
    <t xml:space="preserve">Isolated, no integrations</t>
  </si>
  <si>
    <t xml:space="preserve">Limited API, rate-capped</t>
  </si>
  <si>
    <t xml:space="preserve">Direct system access: database, filesystem, connectors</t>
  </si>
  <si>
    <t xml:space="preserve">Privileged control plane: IAM, secrets, infrastructure</t>
  </si>
  <si>
    <t xml:space="preserve">Action reversibility</t>
  </si>
  <si>
    <t xml:space="preserve">Read-only, no state change</t>
  </si>
  <si>
    <t xml:space="preserve">Reversible writes: edit a document, retry a task</t>
  </si>
  <si>
    <t xml:space="preserve">Hard to reverse: send an email, trigger a payment</t>
  </si>
  <si>
    <t xml:space="preserve">Irreversible: delete records, post publicly, move money</t>
  </si>
  <si>
    <t xml:space="preserve">Data persistence</t>
  </si>
  <si>
    <t xml:space="preserve">None, ephemeral</t>
  </si>
  <si>
    <t xml:space="preserve">Session only, cleared on close</t>
  </si>
  <si>
    <t xml:space="preserve">Cached or stored, TTL-bounded, user-owned</t>
  </si>
  <si>
    <t xml:space="preserve">Vendor retains and may train; memory shared across users</t>
  </si>
  <si>
    <t xml:space="preserve">External access</t>
  </si>
  <si>
    <t xml:space="preserve">None, internal only</t>
  </si>
  <si>
    <t xml:space="preserve">Allowlisted endpoints, logged</t>
  </si>
  <si>
    <t xml:space="preserve">Broad internet with logged egress</t>
  </si>
  <si>
    <t xml:space="preserve">Unrestricted or unlogged egress</t>
  </si>
  <si>
    <t xml:space="preserve">Agent autonomy</t>
  </si>
  <si>
    <t xml:space="preserve">No autonomy: a person prompts each action</t>
  </si>
  <si>
    <t xml:space="preserve">Scoped autonomy with a person approving every write</t>
  </si>
  <si>
    <t xml:space="preserve">Fully autonomous, no human gate, may spawn sub-agents</t>
  </si>
  <si>
    <t xml:space="preserve">Scoring rule: the highest rating across any factor sets the overall risk level. A tool whose agent autonomy sits above the Org Profile ceiling is routed as Severe.</t>
  </si>
  <si>
    <t xml:space="preserve">2. Routing quick reference</t>
  </si>
  <si>
    <t xml:space="preserve">Calculated from Org Profile section 2. Change it there.</t>
  </si>
  <si>
    <t xml:space="preserve">3. Function to guardrails to families</t>
  </si>
  <si>
    <t xml:space="preserve">Identify every function the tool performs; the union of their guardrails, plus the Every tool and Vendor products rows on the Guardrail Checklist, is the tool's required list. Nearly every tool performs the two text functions (LLM prompt processing and AI response generation), which carry the controls any model-backed tool needs; the other functions carry what is specific to them. "Required guardrails" is what a person reads and "Guardrail IDs" is what the skill reads; both come from the Guardrail Checklist, so edit the IDs and the names follow. "Example products" come from the AI Security Tool Landscape; in your own records the skill names the tool you own for each family from Org Profile section 3. Set Active to Off to drop a function, and add your own in the blank rows.</t>
  </si>
  <si>
    <t xml:space="preserve">table:functions</t>
  </si>
  <si>
    <t xml:space="preserve">Function</t>
  </si>
  <si>
    <t xml:space="preserve">Risk</t>
  </si>
  <si>
    <t xml:space="preserve">Agentic?</t>
  </si>
  <si>
    <t xml:space="preserve">Required guardrails</t>
  </si>
  <si>
    <t xml:space="preserve">Guardrail IDs</t>
  </si>
  <si>
    <t xml:space="preserve">Families</t>
  </si>
  <si>
    <t xml:space="preserve">Example products</t>
  </si>
  <si>
    <t xml:space="preserve">Active</t>
  </si>
  <si>
    <t xml:space="preserve">functions</t>
  </si>
  <si>
    <t xml:space="preserve">Time, date and timezone calculations</t>
  </si>
  <si>
    <t xml:space="preserve">No</t>
  </si>
  <si>
    <t xml:space="preserve">audit logging</t>
  </si>
  <si>
    <t xml:space="preserve">OBS-01</t>
  </si>
  <si>
    <t xml:space="preserve">Observability</t>
  </si>
  <si>
    <t xml:space="preserve">On</t>
  </si>
  <si>
    <t xml:space="preserve">Public data lookups (weather, rates, reference APIs)</t>
  </si>
  <si>
    <t xml:space="preserve">rate limiting (per user); domain restrictions (egress); audit logging</t>
  </si>
  <si>
    <t xml:space="preserve">RUN-03; RUN-07; OBS-01</t>
  </si>
  <si>
    <t xml:space="preserve">Runtime, Observability</t>
  </si>
  <si>
    <t xml:space="preserve">Geographic and mapping information</t>
  </si>
  <si>
    <t xml:space="preserve">pII detection; domain restrictions (egress); audit logging</t>
  </si>
  <si>
    <t xml:space="preserve">DAT-02; RUN-07; OBS-01</t>
  </si>
  <si>
    <t xml:space="preserve">Data Protection, Runtime, Observability</t>
  </si>
  <si>
    <t xml:space="preserve">Basic system health checks (read-only)</t>
  </si>
  <si>
    <t xml:space="preserve">service account scoping; secrets management; audit logging</t>
  </si>
  <si>
    <t xml:space="preserve">NHI-01; NHI-02; OBS-01</t>
  </si>
  <si>
    <t xml:space="preserve">NHI, Observability</t>
  </si>
  <si>
    <t xml:space="preserve">Datadog, Arize</t>
  </si>
  <si>
    <t xml:space="preserve">Static file read (public or non-sensitive)</t>
  </si>
  <si>
    <t xml:space="preserve">service account scoping; data classification; audit logging</t>
  </si>
  <si>
    <t xml:space="preserve">NHI-01; DAT-03; OBS-01</t>
  </si>
  <si>
    <t xml:space="preserve">NHI, Data Protection, Observability</t>
  </si>
  <si>
    <t xml:space="preserve">Online search interfaces</t>
  </si>
  <si>
    <t xml:space="preserve">rate limiting (per user); domain restrictions (egress); dLP rules active; audit logging</t>
  </si>
  <si>
    <t xml:space="preserve">RUN-03; RUN-07; DAT-01; OBS-01</t>
  </si>
  <si>
    <t xml:space="preserve">Runtime, Data Protection, Observability</t>
  </si>
  <si>
    <t xml:space="preserve">Harmonic, Nightfall, Netskope</t>
  </si>
  <si>
    <t xml:space="preserve">Web data extraction and scraping</t>
  </si>
  <si>
    <t xml:space="preserve">domain restrictions (egress); input validation; audit logging; red team and adversarial testing</t>
  </si>
  <si>
    <t xml:space="preserve">RUN-07; RUN-01; OBS-01; OBS-06</t>
  </si>
  <si>
    <t xml:space="preserve">Netskope, Zscaler, Island</t>
  </si>
  <si>
    <t xml:space="preserve">Automated task execution (scoped)</t>
  </si>
  <si>
    <t xml:space="preserve">agent authentication; intent validation; tool and function authorization; secrets management; short-lived tokens; rate limiting (per workload); alerting configured; agent behavior monitoring; red team and adversarial testing</t>
  </si>
  <si>
    <t xml:space="preserve">NHI-05; NHI-06; NHI-07; NHI-02; NHI-04; RUN-04; OBS-04; OBS-08; OBS-06</t>
  </si>
  <si>
    <t xml:space="preserve">NHI, Runtime, Observability</t>
  </si>
  <si>
    <t xml:space="preserve">Arthur, Mindgard, Datadog</t>
  </si>
  <si>
    <t xml:space="preserve">Log processing and event analysis</t>
  </si>
  <si>
    <t xml:space="preserve">service account scoping; pII detection; data masking; data classification; audit logging</t>
  </si>
  <si>
    <t xml:space="preserve">NHI-01; DAT-02; DAT-06; DAT-03; OBS-01</t>
  </si>
  <si>
    <t xml:space="preserve">Datadog, Arize, Splunk</t>
  </si>
  <si>
    <t xml:space="preserve">Enterprise data queries (read-only)</t>
  </si>
  <si>
    <t xml:space="preserve">service account scoping; secrets management; credential rotation; dLP rules active; pII detection; data classification; audit logging; sIEM integration; alerting configured</t>
  </si>
  <si>
    <t xml:space="preserve">NHI-01; NHI-02; NHI-03; DAT-01; DAT-02; DAT-03; OBS-01; OBS-03; OBS-04</t>
  </si>
  <si>
    <t xml:space="preserve">Cyera, BigID, Knostic</t>
  </si>
  <si>
    <t xml:space="preserve">Internal documentation retrieval</t>
  </si>
  <si>
    <t xml:space="preserve">service account scoping; secrets management; credential rotation; dLP rules active; data classification; audit logging; sIEM integration; alerting configured; vector store security</t>
  </si>
  <si>
    <t xml:space="preserve">NHI-01; NHI-02; NHI-03; DAT-01; DAT-03; OBS-01; OBS-03; OBS-04; SUP-10</t>
  </si>
  <si>
    <t xml:space="preserve">NHI, Data Protection, Observability, Supply Chain</t>
  </si>
  <si>
    <t xml:space="preserve">Knostic, Cyera, Reco</t>
  </si>
  <si>
    <t xml:space="preserve">Code repository read access</t>
  </si>
  <si>
    <t xml:space="preserve">service account scoping; secrets management; credential rotation; data classification; audit logging</t>
  </si>
  <si>
    <t xml:space="preserve">NHI-01; NHI-02; NHI-03; DAT-03; OBS-01</t>
  </si>
  <si>
    <t xml:space="preserve">Wiz, Noma, GitGuardian</t>
  </si>
  <si>
    <t xml:space="preserve">Email, chat and messaging read access</t>
  </si>
  <si>
    <t xml:space="preserve">Harmonic, Nightfall, Knostic</t>
  </si>
  <si>
    <t xml:space="preserve">LLM prompt processing (text)</t>
  </si>
  <si>
    <t xml:space="preserve">input validation; rate limiting (per user); content safety; fallback and graceful degradation; audit logging; log retention; user access tracked; usage analytics; model provenance; model version pinning; model rollback procedure; third-party model assessment; system prompt protection; encryption in transit; encryption at rest; retention policies; training data opt-out; incident disclosure to users; data residency review</t>
  </si>
  <si>
    <t xml:space="preserve">RUN-01; RUN-03; RUN-05; RUN-09; OBS-01; OBS-02; SHA-03; SHA-04; SUP-01; SUP-02; SUP-03; SUP-08; SUP-11; DAT-04; DAT-05; DAT-07; DAT-08; DAT-10; POS-08</t>
  </si>
  <si>
    <t xml:space="preserve">Runtime, Observability, Shadow AI, Supply Chain, Data Protection, Posture</t>
  </si>
  <si>
    <t xml:space="preserve">Arthur, Mindgard, Prompt Armor, Lakera (Check Point)</t>
  </si>
  <si>
    <t xml:space="preserve">Multi-modal input processing (image, audio, video)</t>
  </si>
  <si>
    <t xml:space="preserve">multi-modal input validation; content safety; input validation</t>
  </si>
  <si>
    <t xml:space="preserve">RUN-06; RUN-05; RUN-01</t>
  </si>
  <si>
    <t xml:space="preserve">Runtime</t>
  </si>
  <si>
    <t xml:space="preserve">Lakera (Check Point), Azure AI Content Safety, Google Model Armor</t>
  </si>
  <si>
    <t xml:space="preserve">AI response generation (text)</t>
  </si>
  <si>
    <t xml:space="preserve">output filtering; content safety; performance and drift monitoring; audit logging</t>
  </si>
  <si>
    <t xml:space="preserve">RUN-02; RUN-05; OBS-05; OBS-01</t>
  </si>
  <si>
    <t xml:space="preserve">Arthur, Patronus, Arize</t>
  </si>
  <si>
    <t xml:space="preserve">Vector database queries (read-only)</t>
  </si>
  <si>
    <t xml:space="preserve">vector store security; embedding integrity; service account scoping; pII detection; audit logging</t>
  </si>
  <si>
    <t xml:space="preserve">SUP-10; SUP-12; NHI-01; DAT-02; OBS-01</t>
  </si>
  <si>
    <t xml:space="preserve">Supply Chain, NHI, Data Protection, Observability</t>
  </si>
  <si>
    <t xml:space="preserve">Knostic, Cyera, Wiz</t>
  </si>
  <si>
    <t xml:space="preserve">Prompt chaining and workflow orchestration</t>
  </si>
  <si>
    <t xml:space="preserve">agent authentication; tool and function authorization; sub-agent spawn limits; rate limiting (per workload); performance and drift monitoring; agent behavior monitoring; audit logging</t>
  </si>
  <si>
    <t xml:space="preserve">NHI-05; NHI-07; NHI-08; RUN-04; OBS-05; OBS-08; OBS-01</t>
  </si>
  <si>
    <t xml:space="preserve">Arthur, LangSmith, Arize</t>
  </si>
  <si>
    <t xml:space="preserve">Prompt caching across requests</t>
  </si>
  <si>
    <t xml:space="preserve">prompt cache isolation; retention policies</t>
  </si>
  <si>
    <t xml:space="preserve">RUN-08; DAT-07</t>
  </si>
  <si>
    <t xml:space="preserve">Runtime, Data Protection</t>
  </si>
  <si>
    <t xml:space="preserve">Portkey (Palo Alto), LangSmith, vendor-native</t>
  </si>
  <si>
    <t xml:space="preserve">MCP server: vendor-signed or verified</t>
  </si>
  <si>
    <t xml:space="preserve">plugin, extension and MCP validation; tool and function authorization; agent authentication; rate limiting (per workload); agent behavior monitoring</t>
  </si>
  <si>
    <t xml:space="preserve">SUP-09; NHI-07; NHI-05; RUN-04; OBS-08</t>
  </si>
  <si>
    <t xml:space="preserve">Supply Chain, NHI, Runtime, Observability</t>
  </si>
  <si>
    <t xml:space="preserve">Vendor registry, Runlayer, Snyk</t>
  </si>
  <si>
    <t xml:space="preserve">Automated file handling (read and write)</t>
  </si>
  <si>
    <t xml:space="preserve">service account scoping; secrets management; credential rotation; autonomous action limits; dLP rules active; data classification; audit logging; sIEM integration; alerting configured</t>
  </si>
  <si>
    <t xml:space="preserve">NHI-01; NHI-02; NHI-03; NHI-09; DAT-01; DAT-03; OBS-01; OBS-03; OBS-04</t>
  </si>
  <si>
    <t xml:space="preserve">Cyera, BigID, Netskope</t>
  </si>
  <si>
    <t xml:space="preserve">Filesystem traversal outside the workspace</t>
  </si>
  <si>
    <t xml:space="preserve">shell and filesystem sandbox; service account scoping; secrets management; audit logging; agent behavior monitoring</t>
  </si>
  <si>
    <t xml:space="preserve">NHI-11; NHI-01; NHI-02; OBS-01; OBS-08</t>
  </si>
  <si>
    <t xml:space="preserve">Sandbox, Noma</t>
  </si>
  <si>
    <t xml:space="preserve">Code repository write access</t>
  </si>
  <si>
    <t xml:space="preserve">autonomous action limits; tool and function authorization; secrets management; short-lived tokens; audit logging; alerting configured; mL pipeline security</t>
  </si>
  <si>
    <t xml:space="preserve">NHI-09; NHI-07; NHI-02; NHI-04; OBS-01; OBS-04; SUP-06</t>
  </si>
  <si>
    <t xml:space="preserve">NHI, Observability, Supply Chain</t>
  </si>
  <si>
    <t xml:space="preserve">Noma, HiddenLayer, Wiz, Legit, Cycode</t>
  </si>
  <si>
    <t xml:space="preserve">Enterprise file indexing and search</t>
  </si>
  <si>
    <t xml:space="preserve">service account scoping; secrets management; dLP rules active; pII detection; data classification; vector store security; embedding integrity; sIEM integration; alerting configured; data residency review</t>
  </si>
  <si>
    <t xml:space="preserve">NHI-01; NHI-02; DAT-01; DAT-02; DAT-03; SUP-10; SUP-12; OBS-03; OBS-04; POS-08</t>
  </si>
  <si>
    <t xml:space="preserve">NHI, Data Protection, Supply Chain, Observability, Posture</t>
  </si>
  <si>
    <t xml:space="preserve">Knostic, Cyera, BigID</t>
  </si>
  <si>
    <t xml:space="preserve">Automated messaging and email send</t>
  </si>
  <si>
    <t xml:space="preserve">autonomous action limits; tool and function authorization; intent validation; output filtering; audit logging; alerting configured; agent behavior monitoring</t>
  </si>
  <si>
    <t xml:space="preserve">NHI-09; NHI-07; NHI-06; RUN-02; OBS-01; OBS-04; OBS-08</t>
  </si>
  <si>
    <t xml:space="preserve">Arthur, Mindgard, Harmonic</t>
  </si>
  <si>
    <t xml:space="preserve">AI memory and context storage (user-scoped)</t>
  </si>
  <si>
    <t xml:space="preserve">agent memory protection; secrets management; pII detection; data classification; encryption at rest; retention policies</t>
  </si>
  <si>
    <t xml:space="preserve">NHI-12; NHI-02; DAT-02; DAT-03; DAT-05; DAT-07</t>
  </si>
  <si>
    <t xml:space="preserve">NHI, Data Protection</t>
  </si>
  <si>
    <t xml:space="preserve">Knostic, Cyera, Noma</t>
  </si>
  <si>
    <t xml:space="preserve">Agent memory write-back to shared stores</t>
  </si>
  <si>
    <t xml:space="preserve">agent memory protection; autonomous action limits; pII detection; data classification; embedding integrity; agent behavior monitoring</t>
  </si>
  <si>
    <t xml:space="preserve">NHI-12; NHI-09; DAT-02; DAT-03; SUP-12; OBS-08</t>
  </si>
  <si>
    <t xml:space="preserve">NHI, Data Protection, Supply Chain, Observability</t>
  </si>
  <si>
    <t xml:space="preserve">Knostic, Cyera, vector-store native</t>
  </si>
  <si>
    <t xml:space="preserve">Business intelligence system updates</t>
  </si>
  <si>
    <t xml:space="preserve">service account scoping; tool and function authorization; autonomous action limits; audit logging; alerting configured</t>
  </si>
  <si>
    <t xml:space="preserve">NHI-01; NHI-07; NHI-09; OBS-01; OBS-04</t>
  </si>
  <si>
    <t xml:space="preserve">Cyera, BigID, Silverfort</t>
  </si>
  <si>
    <t xml:space="preserve">HR, financial or PII system access</t>
  </si>
  <si>
    <t xml:space="preserve">agent authentication; service account scoping; secrets management; credential rotation; dLP rules active; pII detection; data classification; data masking; audit logging; sIEM integration; alerting configured; bias and fairness testing; compliance mapping</t>
  </si>
  <si>
    <t xml:space="preserve">NHI-05; NHI-01; NHI-02; NHI-03; DAT-01; DAT-02; DAT-03; DAT-06; OBS-01; OBS-03; OBS-04; OBS-07; POS-07</t>
  </si>
  <si>
    <t xml:space="preserve">NHI, Data Protection, Observability, Posture</t>
  </si>
  <si>
    <t xml:space="preserve">Silverfort, Cyera, ServiceNow</t>
  </si>
  <si>
    <t xml:space="preserve">Cloud storage access (S3, GCS, Azure Blob)</t>
  </si>
  <si>
    <t xml:space="preserve">service account scoping; secrets management; credential rotation; short-lived tokens; dLP rules active; data classification; encryption at rest; audit logging; sIEM integration</t>
  </si>
  <si>
    <t xml:space="preserve">NHI-01; NHI-02; NHI-03; NHI-04; DAT-01; DAT-03; DAT-05; OBS-01; OBS-03</t>
  </si>
  <si>
    <t xml:space="preserve">Wiz (Google), Cyera, cloud-native</t>
  </si>
  <si>
    <t xml:space="preserve">External API calls (outbound, allowlisted)</t>
  </si>
  <si>
    <t xml:space="preserve">domain restrictions (egress); tool and function authorization; secrets management; short-lived tokens; dLP rules active; audit logging; alerting configured</t>
  </si>
  <si>
    <t xml:space="preserve">RUN-07; NHI-07; NHI-02; NHI-04; DAT-01; OBS-01; OBS-04</t>
  </si>
  <si>
    <t xml:space="preserve">Runtime, NHI, Data Protection, Observability</t>
  </si>
  <si>
    <t xml:space="preserve">Netskope, Zscaler, Arthur, Cloudflare AI Gateway</t>
  </si>
  <si>
    <t xml:space="preserve">Code execution in an ephemeral sandbox</t>
  </si>
  <si>
    <t xml:space="preserve">shell and filesystem sandbox; rate limiting (per workload); domain restrictions (egress); agent behavior monitoring; red team and adversarial testing</t>
  </si>
  <si>
    <t xml:space="preserve">NHI-11; RUN-04; RUN-07; OBS-08; OBS-06</t>
  </si>
  <si>
    <t xml:space="preserve">Noma, HiddenLayer, platform sandboxes</t>
  </si>
  <si>
    <t xml:space="preserve">RAG with confidential documents</t>
  </si>
  <si>
    <t xml:space="preserve">vector store security; embedding integrity; service account scoping; secrets management; dLP rules active; pII detection; data classification; encryption at rest; audit logging; sIEM integration; alerting configured; red team and adversarial testing; input validation; data residency review</t>
  </si>
  <si>
    <t xml:space="preserve">SUP-10; SUP-12; NHI-01; NHI-02; DAT-01; DAT-02; DAT-03; DAT-05; OBS-01; OBS-03; OBS-04; OBS-06; RUN-01; POS-08</t>
  </si>
  <si>
    <t xml:space="preserve">Supply Chain, NHI, Data Protection, Observability, Runtime, Posture</t>
  </si>
  <si>
    <t xml:space="preserve">Knostic, Cyera, Arthur</t>
  </si>
  <si>
    <t xml:space="preserve">Tool and function calling by AI agents</t>
  </si>
  <si>
    <t xml:space="preserve">agent authentication; intent validation; tool and function authorization; agentic boundary controls; secrets management; credential rotation; short-lived tokens; rate limiting (per workload); audit logging; alerting configured; red team and adversarial testing; agent behavior monitoring</t>
  </si>
  <si>
    <t xml:space="preserve">NHI-05; NHI-06; NHI-07; NHI-10; NHI-02; NHI-03; NHI-04; RUN-04; OBS-01; OBS-04; OBS-06; OBS-08</t>
  </si>
  <si>
    <t xml:space="preserve">Noma, Zenity, Oasis (Cyera), Straiker</t>
  </si>
  <si>
    <t xml:space="preserve">Vector database write access</t>
  </si>
  <si>
    <t xml:space="preserve">vector store security; embedding integrity; pII detection; data classification; autonomous action limits; alerting configured</t>
  </si>
  <si>
    <t xml:space="preserve">SUP-10; SUP-12; DAT-02; DAT-03; NHI-09; OBS-04</t>
  </si>
  <si>
    <t xml:space="preserve">Supply Chain, Data Protection, NHI, Observability</t>
  </si>
  <si>
    <t xml:space="preserve">Knostic, Cyera, Wiz (Google)</t>
  </si>
  <si>
    <t xml:space="preserve">Human-in-the-loop approval workflows</t>
  </si>
  <si>
    <t xml:space="preserve">autonomous action limits; intent validation; audit logging; agent action attestation</t>
  </si>
  <si>
    <t xml:space="preserve">NHI-09; NHI-06; OBS-01; SUP-13</t>
  </si>
  <si>
    <t xml:space="preserve">ServiceNow, Noma, Zenity</t>
  </si>
  <si>
    <t xml:space="preserve">MCP server: community or open source</t>
  </si>
  <si>
    <t xml:space="preserve">plugin, extension and MCP validation; shell and filesystem sandbox; tool and function authorization; agent authentication; alerting configured; agent behavior monitoring; red team and adversarial testing</t>
  </si>
  <si>
    <t xml:space="preserve">SUP-09; NHI-11; NHI-07; NHI-05; OBS-04; OBS-08; OBS-06</t>
  </si>
  <si>
    <t xml:space="preserve">Supply Chain, NHI, Observability</t>
  </si>
  <si>
    <t xml:space="preserve">Snyk, Runlayer, Chainguard, Sonatype</t>
  </si>
  <si>
    <t xml:space="preserve">Sub-agent spawning (bounded)</t>
  </si>
  <si>
    <t xml:space="preserve">sub-agent spawn limits; agent authentication; rate limiting (per workload); audit logging; agent behavior monitoring; agent action attestation</t>
  </si>
  <si>
    <t xml:space="preserve">NHI-08; NHI-05; RUN-04; OBS-01; OBS-08; SUP-13</t>
  </si>
  <si>
    <t xml:space="preserve">NHI, Runtime, Observability, Supply Chain</t>
  </si>
  <si>
    <t xml:space="preserve">Zenity, Noma, Oasis (Cyera)</t>
  </si>
  <si>
    <t xml:space="preserve">Dynamic tool loading at runtime</t>
  </si>
  <si>
    <t xml:space="preserve">plugin, extension and MCP validation; tool and function authorization; shell and filesystem sandbox; intent validation; agent behavior monitoring</t>
  </si>
  <si>
    <t xml:space="preserve">SUP-09; NHI-07; NHI-11; NHI-06; OBS-08</t>
  </si>
  <si>
    <t xml:space="preserve">Snyk, Noma, Runlayer</t>
  </si>
  <si>
    <t xml:space="preserve">Long-running or background agents</t>
  </si>
  <si>
    <t xml:space="preserve">agent behavior monitoring; rate limiting (per workload); fallback and graceful degradation; alerting configured; short-lived tokens; autonomous action limits</t>
  </si>
  <si>
    <t xml:space="preserve">OBS-08; RUN-04; RUN-09; OBS-04; NHI-04; NHI-09</t>
  </si>
  <si>
    <t xml:space="preserve">Observability, Runtime, NHI</t>
  </si>
  <si>
    <t xml:space="preserve">Arize, LangSmith, Noma, Straiker</t>
  </si>
  <si>
    <t xml:space="preserve">Model-in-the-loop decision routing</t>
  </si>
  <si>
    <t xml:space="preserve">audit logging; performance and drift monitoring; bias and fairness testing; autonomous action limits; compliance mapping; incident disclosure to users</t>
  </si>
  <si>
    <t xml:space="preserve">OBS-01; OBS-05; OBS-07; NHI-09; POS-07; DAT-10</t>
  </si>
  <si>
    <t xml:space="preserve">Observability, NHI, Posture, Data Protection</t>
  </si>
  <si>
    <t xml:space="preserve">Arthur, Arize, Patronus</t>
  </si>
  <si>
    <t xml:space="preserve">Fine-tuning with customer or non-production data</t>
  </si>
  <si>
    <t xml:space="preserve">training data lineage; training data opt-in; mL pipeline security; model integrity verification; pII detection; data classification</t>
  </si>
  <si>
    <t xml:space="preserve">SUP-04; SUP-05; SUP-06; SUP-07; DAT-02; DAT-03</t>
  </si>
  <si>
    <t xml:space="preserve">Supply Chain, Data Protection</t>
  </si>
  <si>
    <t xml:space="preserve">HiddenLayer, Noma, Cyera</t>
  </si>
  <si>
    <t xml:space="preserve">Content generation for external publication</t>
  </si>
  <si>
    <t xml:space="preserve">content provenance and watermarking; incident disclosure to users; output filtering; content safety; autonomous action limits; audit logging</t>
  </si>
  <si>
    <t xml:space="preserve">DAT-09; DAT-10; RUN-02; RUN-05; NHI-09; OBS-01</t>
  </si>
  <si>
    <t xml:space="preserve">Data Protection, Runtime, NHI, Observability</t>
  </si>
  <si>
    <t xml:space="preserve">C2PA tooling, Arthur</t>
  </si>
  <si>
    <t xml:space="preserve">Autonomous web browsing</t>
  </si>
  <si>
    <t xml:space="preserve">domain restrictions (egress); input validation; intent validation; autonomous action limits; agent behavior monitoring; red team and adversarial testing; dLP rules active</t>
  </si>
  <si>
    <t xml:space="preserve">RUN-07; RUN-01; NHI-06; NHI-09; OBS-08; OBS-06; DAT-01</t>
  </si>
  <si>
    <t xml:space="preserve">Runtime, NHI, Observability, Data Protection</t>
  </si>
  <si>
    <t xml:space="preserve">Full stack plus formal review</t>
  </si>
  <si>
    <t xml:space="preserve">Log analysis containing PII or regulated data</t>
  </si>
  <si>
    <t xml:space="preserve">data masking; pII detection; data classification; service account scoping; sIEM integration; compliance mapping; data residency review</t>
  </si>
  <si>
    <t xml:space="preserve">DAT-06; DAT-02; DAT-03; NHI-01; OBS-03; POS-07; POS-08</t>
  </si>
  <si>
    <t xml:space="preserve">Data Protection, NHI, Observability, Posture</t>
  </si>
  <si>
    <t xml:space="preserve">Cyera plus Datadog, with review</t>
  </si>
  <si>
    <t xml:space="preserve">Shell or bash execution</t>
  </si>
  <si>
    <t xml:space="preserve">shell and filesystem sandbox; tool and function authorization; service account scoping; secrets management; audit logging; agent behavior monitoring; red team and adversarial testing</t>
  </si>
  <si>
    <t xml:space="preserve">NHI-11; NHI-07; NHI-01; NHI-02; OBS-01; OBS-08; OBS-06</t>
  </si>
  <si>
    <t xml:space="preserve">Sandbox plus PAM-brokered execution</t>
  </si>
  <si>
    <t xml:space="preserve">Privileged system automation (production infrastructure)</t>
  </si>
  <si>
    <t xml:space="preserve">autonomous action limits; agentic boundary controls; short-lived tokens; agent authentication; tool and function authorization; audit logging; alerting configured; agent behavior monitoring; agent action attestation</t>
  </si>
  <si>
    <t xml:space="preserve">NHI-09; NHI-10; NHI-04; NHI-05; NHI-07; OBS-01; OBS-04; OBS-08; SUP-13</t>
  </si>
  <si>
    <t xml:space="preserve">Silverfort, Astrix (Cisco), Oasis (Cyera), PAM</t>
  </si>
  <si>
    <t xml:space="preserve">Unrestricted code execution (no sandbox)</t>
  </si>
  <si>
    <t xml:space="preserve">shell and filesystem sandbox; agentic boundary controls; domain restrictions (egress); agent behavior monitoring; red team and adversarial testing; agent action attestation</t>
  </si>
  <si>
    <t xml:space="preserve">NHI-11; NHI-10; RUN-07; OBS-08; OBS-06; SUP-13</t>
  </si>
  <si>
    <t xml:space="preserve">Full stack plus mandatory sandbox</t>
  </si>
  <si>
    <t xml:space="preserve">Model fine-tuning with production data</t>
  </si>
  <si>
    <t xml:space="preserve">training data lineage; training data opt-in; mL pipeline security; model integrity verification; pII detection; data classification; data masking; retention policies; compliance mapping</t>
  </si>
  <si>
    <t xml:space="preserve">SUP-04; SUP-05; SUP-06; SUP-07; DAT-02; DAT-03; DAT-06; DAT-07; POS-07</t>
  </si>
  <si>
    <t xml:space="preserve">Supply Chain, Data Protection, Posture</t>
  </si>
  <si>
    <t xml:space="preserve">Noma, HiddenLayer, Cyera, BigID</t>
  </si>
  <si>
    <t xml:space="preserve">Infrastructure automation (Terraform, Kubernetes)</t>
  </si>
  <si>
    <t xml:space="preserve">autonomous action limits; agentic boundary controls; service account scoping; short-lived tokens; agent authentication; tool and function authorization; audit logging; alerting configured; agent action attestation</t>
  </si>
  <si>
    <t xml:space="preserve">NHI-09; NHI-10; NHI-01; NHI-04; NHI-05; NHI-07; OBS-01; OBS-04; SUP-13</t>
  </si>
  <si>
    <t xml:space="preserve">Silverfort, Astrix (Cisco), with review</t>
  </si>
  <si>
    <t xml:space="preserve">Autonomous agent with unrestricted API access</t>
  </si>
  <si>
    <t xml:space="preserve">tool and function authorization; autonomous action limits; agentic boundary controls; short-lived tokens; domain restrictions (egress); agent behavior monitoring; red team and adversarial testing; agent action attestation</t>
  </si>
  <si>
    <t xml:space="preserve">NHI-07; NHI-09; NHI-10; NHI-04; RUN-07; OBS-08; OBS-06; SUP-13</t>
  </si>
  <si>
    <t xml:space="preserve">Full stack plus continuous monitoring</t>
  </si>
  <si>
    <t xml:space="preserve">Multi-agent orchestration (autonomous)</t>
  </si>
  <si>
    <t xml:space="preserve">agentic boundary controls; agent authentication; intent validation; sub-agent spawn limits; rate limiting (per workload); agent behavior monitoring; agent action attestation</t>
  </si>
  <si>
    <t xml:space="preserve">NHI-10; NHI-05; NHI-06; NHI-08; RUN-04; OBS-08; SUP-13</t>
  </si>
  <si>
    <t xml:space="preserve">Zenity, Oasis (Cyera), Astrix (Cisco), full stack</t>
  </si>
  <si>
    <t xml:space="preserve">Agent task delegation or unbounded spawning</t>
  </si>
  <si>
    <t xml:space="preserve">sub-agent spawn limits; autonomous action limits; agentic boundary controls; rate limiting (per workload); agent behavior monitoring; agent action attestation</t>
  </si>
  <si>
    <t xml:space="preserve">NHI-08; NHI-09; NHI-10; RUN-04; OBS-08; SUP-13</t>
  </si>
  <si>
    <t xml:space="preserve">Autonomous decision-making on consequential actions</t>
  </si>
  <si>
    <t xml:space="preserve">autonomous action limits; intent validation; audit logging; bias and fairness testing; compliance mapping; incident disclosure to users; agent action attestation</t>
  </si>
  <si>
    <t xml:space="preserve">NHI-09; NHI-06; OBS-01; OBS-07; POS-07; DAT-10; SUP-13</t>
  </si>
  <si>
    <t xml:space="preserve">NHI, Observability, Posture, Data Protection, Supply Chain</t>
  </si>
  <si>
    <t xml:space="preserve">Full stack plus mandatory logging</t>
  </si>
  <si>
    <t xml:space="preserve">Computer use: screen capture, mouse and keyboard control</t>
  </si>
  <si>
    <t xml:space="preserve">autonomous action limits; shell and filesystem sandbox; intent validation; pII detection; audit logging; agent behavior monitoring; red team and adversarial testing</t>
  </si>
  <si>
    <t xml:space="preserve">NHI-09; NHI-11; NHI-06; DAT-02; OBS-01; OBS-08; OBS-06</t>
  </si>
  <si>
    <t xml:space="preserve">Zenity, Noma, sandboxed hosts</t>
  </si>
  <si>
    <t xml:space="preserve">MCP server: custom or self-built (unreviewed)</t>
  </si>
  <si>
    <t xml:space="preserve">plugin, extension and MCP validation; mL pipeline security; shell and filesystem sandbox; tool and function authorization; agent authentication; agent behavior monitoring; red team and adversarial testing</t>
  </si>
  <si>
    <t xml:space="preserve">SUP-09; SUP-06; NHI-11; NHI-07; NHI-05; OBS-08; OBS-06</t>
  </si>
  <si>
    <t xml:space="preserve">Snyk, Chainguard, internal review</t>
  </si>
  <si>
    <t xml:space="preserve">Dynamic model swap at runtime</t>
  </si>
  <si>
    <t xml:space="preserve">model provenance; model version pinning; model rollback procedure; model integrity verification; performance and drift monitoring</t>
  </si>
  <si>
    <t xml:space="preserve">SUP-01; SUP-02; SUP-03; SUP-07; OBS-05</t>
  </si>
  <si>
    <t xml:space="preserve">Supply Chain, Observability</t>
  </si>
  <si>
    <t xml:space="preserve">Model registry with attestation</t>
  </si>
  <si>
    <t xml:space="preserve">57 functions, 30 flagged agentic. Low: standard approval. Medium: department lead with security review. High: committee review. Severe: exception required. Those are the starter routes; Org Profile section 2 holds yours.</t>
  </si>
  <si>
    <t xml:space="preserve">AI Security Risk Workbook: Guardrail Checklist</t>
  </si>
  <si>
    <t xml:space="preserve">The control library. A guardrail is required for a tool only when a function the tool performs lists it on the Tool Function Mapping tab, so the record for a drafting assistant and the record for an agent that runs shell commands carry different lists. In scope says which rule applies: Every tool = the program's own steps (register, classify, approve, assign an owner), required whatever the tool does | Vendor products = required for anything bought | By function = required only when a listed function names it; the next column shows which functions do. The risk level routes the decision and sets who approves; it does not add guardrails. The agentic flag marks which guardrails are agent controls; it does not put them in scope either. At issue, the record lists every required guardrail with its owner and the control that meets it. After deployment, the Verification sheet in the record file carries the same rows with their verification criteria and evidence, for a person to mark Pass or Fail.</t>
  </si>
  <si>
    <t xml:space="preserve">The wording, In scope, the Agentic flag, Your control and Active are yours. Set Active to Off to drop a guardrail from every record without deleting the row; add your own in the blank rows with the family name spelled as it is here. "Required by functions" is calculated from the Tool Function Mapping tab when the workbook is built.</t>
  </si>
  <si>
    <t xml:space="preserve">Keys the skill reads. The ID column is the join to the Tool Function Mapping and Compliance Mapping tabs, so keep IDs stable.</t>
  </si>
  <si>
    <t xml:space="preserve">1. The seven families</t>
  </si>
  <si>
    <t xml:space="preserve">Family</t>
  </si>
  <si>
    <t xml:space="preserve">What it covers</t>
  </si>
  <si>
    <t xml:space="preserve">In one line</t>
  </si>
  <si>
    <t xml:space="preserve">AI Posture &amp; Governance (POS)</t>
  </si>
  <si>
    <t xml:space="preserve">Inventory, risk classification, approval, policy, vendor and compliance review</t>
  </si>
  <si>
    <t xml:space="preserve">What AI is in use, who owns it, whether it was approved and against which rules</t>
  </si>
  <si>
    <t xml:space="preserve">Runtime Protection &amp; Guardrails (RUN)</t>
  </si>
  <si>
    <t xml:space="preserve">Prompt injection and jailbreak defense, output filtering, content safety, rate and cost limits, egress control</t>
  </si>
  <si>
    <t xml:space="preserve">The controls that sit in the request path while the tool runs</t>
  </si>
  <si>
    <t xml:space="preserve">Shadow AI &amp; Usage Discovery (SHA)</t>
  </si>
  <si>
    <t xml:space="preserve">Finding AI use you did not sanction, tracking who uses what, blocking personal accounts</t>
  </si>
  <si>
    <t xml:space="preserve">You cannot govern what you cannot see</t>
  </si>
  <si>
    <t xml:space="preserve">Observability &amp; Evaluation (OBS)</t>
  </si>
  <si>
    <t xml:space="preserve">Audit logging, retention, SIEM, alerting, drift and hallucination monitoring, red teaming, bias testing, agent behavior monitoring</t>
  </si>
  <si>
    <t xml:space="preserve">The evidence that the controls work, and the early warning when they stop working</t>
  </si>
  <si>
    <t xml:space="preserve">Data Protection for AI (DAT)</t>
  </si>
  <si>
    <t xml:space="preserve">DLP, PII detection, classification, encryption, masking, retention, training opt-out, provenance marking, user disclosure</t>
  </si>
  <si>
    <t xml:space="preserve">What data reaches the model, what the model keeps, and what leaves</t>
  </si>
  <si>
    <t xml:space="preserve">NHI &amp; Agentic Access (NHI)</t>
  </si>
  <si>
    <t xml:space="preserve">Service accounts, secrets, rotation, short-lived tokens, agent identity, intent and tool authorization, spawn limits, autonomy limits, boundaries, sandboxes, memory</t>
  </si>
  <si>
    <t xml:space="preserve">Identity is the control plane for agents: what an agent is, what it may call, and how far it may go</t>
  </si>
  <si>
    <t xml:space="preserve">AI Supply Chain (SUP)</t>
  </si>
  <si>
    <t xml:space="preserve">Model provenance, pinning, rollback, training data lineage and consent, pipeline security, integrity checks, third-party models, plugins and MCP servers, vector stores, system prompts, embeddings, action attestation</t>
  </si>
  <si>
    <t xml:space="preserve">Where the model, its data, its tools and its prompts came from, and whether they are still what you reviewed</t>
  </si>
  <si>
    <t xml:space="preserve">2. Guardrails</t>
  </si>
  <si>
    <t xml:space="preserve">"Your control" is optional: the tool or mechanism that meets this guardrail at your organization where the family tools on Org Profile section 3 are too coarse, for example HashiCorp Vault on NHI-02 when the NHI family row lists three tools, Microsoft Purview on DAT-02, the Tool Registry tab on POS-01, the AI governance committee on POS-03, or a contract clause on DAT-08. Separate several with commas. Blank means the family tools; the record fills "Control that meets it" from here first, then from the family row. "Active" is the switch: Off drops the guardrail from every record without deleting it.</t>
  </si>
  <si>
    <t xml:space="preserve">table:guardrails</t>
  </si>
  <si>
    <t xml:space="preserve">ID</t>
  </si>
  <si>
    <t xml:space="preserve">Guardrail</t>
  </si>
  <si>
    <t xml:space="preserve">In scope</t>
  </si>
  <si>
    <t xml:space="preserve">Required by functions</t>
  </si>
  <si>
    <t xml:space="preserve">Verification criteria</t>
  </si>
  <si>
    <t xml:space="preserve">Evidence artifact</t>
  </si>
  <si>
    <t xml:space="preserve">Your control</t>
  </si>
  <si>
    <t xml:space="preserve">guardrails</t>
  </si>
  <si>
    <t xml:space="preserve">POS-01</t>
  </si>
  <si>
    <t xml:space="preserve">AI Posture &amp; Governance</t>
  </si>
  <si>
    <t xml:space="preserve">Tool registration</t>
  </si>
  <si>
    <t xml:space="preserve">Every tool</t>
  </si>
  <si>
    <t xml:space="preserve">Every tool, whatever its functions</t>
  </si>
  <si>
    <t xml:space="preserve">The tool has an entry in the Tool Registry with every required field filled in.</t>
  </si>
  <si>
    <t xml:space="preserve">Tool Registry row: tool, vendor or builder, source, risk level, owners, status. Exported or linked.</t>
  </si>
  <si>
    <t xml:space="preserve">POS-02</t>
  </si>
  <si>
    <t xml:space="preserve">Risk classification</t>
  </si>
  <si>
    <t xml:space="preserve">The seven risk factors are scored and the highest factor sets the level. The functions the tool performs are listed.</t>
  </si>
  <si>
    <t xml:space="preserve">The assessment record, section 4, with the factor scores and the function list.</t>
  </si>
  <si>
    <t xml:space="preserve">POS-03</t>
  </si>
  <si>
    <t xml:space="preserve">Approval obtained</t>
  </si>
  <si>
    <t xml:space="preserve">Approval is recorded at the level the Org Profile sets for this risk level, with conditions written down.</t>
  </si>
  <si>
    <t xml:space="preserve">Ticket or workflow record of the approval, linked from the Tool Registry.</t>
  </si>
  <si>
    <t xml:space="preserve">POS-04</t>
  </si>
  <si>
    <t xml:space="preserve">Policy alignment</t>
  </si>
  <si>
    <t xml:space="preserve">The use fits the AI acceptable-use policy and any data handling rules it points to.</t>
  </si>
  <si>
    <t xml:space="preserve">Signed acknowledgment from the tool owner, or the policy clause the use falls under.</t>
  </si>
  <si>
    <t xml:space="preserve">POS-05</t>
  </si>
  <si>
    <t xml:space="preserve">Owner assignment</t>
  </si>
  <si>
    <t xml:space="preserve">A business owner and a technical owner are named, and both know they own it.</t>
  </si>
  <si>
    <t xml:space="preserve">Tool Registry: Business Owner and Technical Owner fields filled in.</t>
  </si>
  <si>
    <t xml:space="preserve">POS-06</t>
  </si>
  <si>
    <t xml:space="preserve">Vendor assessment</t>
  </si>
  <si>
    <t xml:space="preserve">Vendor products</t>
  </si>
  <si>
    <t xml:space="preserve">Every vendor product and vendor-added AI feature</t>
  </si>
  <si>
    <t xml:space="preserve">The vendor's security posture has been assessed: a SOC 2 Type II or ISO 27001 certificate reviewed, the DPA read, the AI data-handling terms confirmed.</t>
  </si>
  <si>
    <t xml:space="preserve">Vendor risk record: SOC 2 Type II under 12 months old, DPA, AI addendum or equivalent, filed in the evidence store.</t>
  </si>
  <si>
    <t xml:space="preserve">POS-07</t>
  </si>
  <si>
    <t xml:space="preserve">Compliance mapping</t>
  </si>
  <si>
    <t xml:space="preserve">By function</t>
  </si>
  <si>
    <t xml:space="preserve">5 functions: HR, financial or PII system access; Model-in-the-loop decision routing; Log analysis containing PII or regulated data; Model fine-tuning with production data; Autonomous decision-making on consequential actions</t>
  </si>
  <si>
    <t xml:space="preserve">The tool is mapped to the frameworks the organization answers to, using the Compliance Mapping tab.</t>
  </si>
  <si>
    <t xml:space="preserve">Completed framework mapping for this tool, stored in the GRC tool or the evidence store.</t>
  </si>
  <si>
    <t xml:space="preserve">POS-08</t>
  </si>
  <si>
    <t xml:space="preserve">Data residency review</t>
  </si>
  <si>
    <t xml:space="preserve">4 functions: LLM prompt processing (text); Enterprise file indexing and search; RAG with confidential documents; Log analysis containing PII or regulated data</t>
  </si>
  <si>
    <t xml:space="preserve">Where prompts, outputs, embeddings and logs are processed and stored is known and fits the residency requirements.</t>
  </si>
  <si>
    <t xml:space="preserve">Vendor DPA or architecture note naming the regions, checked against the requirements.</t>
  </si>
  <si>
    <t xml:space="preserve">RUN-01</t>
  </si>
  <si>
    <t xml:space="preserve">Runtime Protection &amp; Guardrails</t>
  </si>
  <si>
    <t xml:space="preserve">Input validation</t>
  </si>
  <si>
    <t xml:space="preserve">5 functions: Web data extraction and scraping; LLM prompt processing (text); Multi-modal input processing (image, audio, video); RAG with confidential documents; Autonomous web browsing</t>
  </si>
  <si>
    <t xml:space="preserve">Prompt injection detection runs on every user-supplied input and on retrieved content before it reaches the model.</t>
  </si>
  <si>
    <t xml:space="preserve">Runtime product or gateway configuration showing detection enabled, plus a sample blocked request.</t>
  </si>
  <si>
    <t xml:space="preserve">RUN-02</t>
  </si>
  <si>
    <t xml:space="preserve">Output filtering</t>
  </si>
  <si>
    <t xml:space="preserve">3 functions: AI response generation (text); Automated messaging and email send; Content generation for external publication</t>
  </si>
  <si>
    <t xml:space="preserve">Model outputs pass through content filtering and PII redaction before a person or a downstream system sees them.</t>
  </si>
  <si>
    <t xml:space="preserve">Filter rules and a sample blocked or redacted response from the log.</t>
  </si>
  <si>
    <t xml:space="preserve">RUN-03</t>
  </si>
  <si>
    <t xml:space="preserve">Rate limiting (per user)</t>
  </si>
  <si>
    <t xml:space="preserve">3 functions: Public data lookups (weather, rates, reference APIs); Online search interfaces; LLM prompt processing (text)</t>
  </si>
  <si>
    <t xml:space="preserve">Per-user request and token limits are configured and enforced.</t>
  </si>
  <si>
    <t xml:space="preserve">API gateway or product configuration with the limit values.</t>
  </si>
  <si>
    <t xml:space="preserve">RUN-04</t>
  </si>
  <si>
    <t xml:space="preserve">Rate limiting (per workload)</t>
  </si>
  <si>
    <t xml:space="preserve">9 functions: Automated task execution (scoped); Prompt chaining and workflow orchestration; MCP server: vendor-signed or verified; Code execution in an ephemeral sandbox; Tool and function calling by AI agents; Sub-agent spawning (bounded); Long-running or background agents; Multi-agent orchestration (autonomous); Agent task delegation or unbounded spawning</t>
  </si>
  <si>
    <t xml:space="preserve">Per-workload and per-agent request, token and cost ceilings stop a runaway task.</t>
  </si>
  <si>
    <t xml:space="preserve">Gateway quota configuration and the cost alert rule.</t>
  </si>
  <si>
    <t xml:space="preserve">RUN-05</t>
  </si>
  <si>
    <t xml:space="preserve">Content safety</t>
  </si>
  <si>
    <t xml:space="preserve">4 functions: LLM prompt processing (text); Multi-modal input processing (image, audio, video); AI response generation (text); Content generation for external publication</t>
  </si>
  <si>
    <t xml:space="preserve">Harmful content is detected and blocked on both prompts and responses.</t>
  </si>
  <si>
    <t xml:space="preserve">Content safety configuration and a sample detection from the log.</t>
  </si>
  <si>
    <t xml:space="preserve">RUN-06</t>
  </si>
  <si>
    <t xml:space="preserve">Multi-modal input validation</t>
  </si>
  <si>
    <t xml:space="preserve">1 function: Multi-modal input processing (image, audio, video)</t>
  </si>
  <si>
    <t xml:space="preserve">Image, audio, video and document inputs are scanned for embedded instructions before processing.</t>
  </si>
  <si>
    <t xml:space="preserve">Scanner configuration for each input type and a sample block.</t>
  </si>
  <si>
    <t xml:space="preserve">RUN-07</t>
  </si>
  <si>
    <t xml:space="preserve">Domain restrictions (egress)</t>
  </si>
  <si>
    <t xml:space="preserve">9 functions: Public data lookups (weather, rates, reference APIs); Geographic and mapping information; Online search interfaces; Web data extraction and scraping; External API calls (outbound, allowlisted); Code execution in an ephemeral sandbox; Autonomous web browsing; Unrestricted code execution (no sandbox); Autonomous agent with unrestricted API access</t>
  </si>
  <si>
    <t xml:space="preserve">Network egress from the tool or agent is restricted to allowlisted domains, with everything else denied and logged.</t>
  </si>
  <si>
    <t xml:space="preserve">Firewall or proxy allowlist, the deny rule, and a sample blocked request.</t>
  </si>
  <si>
    <t xml:space="preserve">RUN-08</t>
  </si>
  <si>
    <t xml:space="preserve">Prompt cache isolation</t>
  </si>
  <si>
    <t xml:space="preserve">1 function: Prompt caching across requests</t>
  </si>
  <si>
    <t xml:space="preserve">Prompt and response caches are partitioned per user or tenant with a bounded TTL and no cross-tenant reuse.</t>
  </si>
  <si>
    <t xml:space="preserve">Cache configuration showing the partition key and the TTL.</t>
  </si>
  <si>
    <t xml:space="preserve">RUN-09</t>
  </si>
  <si>
    <t xml:space="preserve">Fallback and graceful degradation</t>
  </si>
  <si>
    <t xml:space="preserve">2 functions: LLM prompt processing (text); Long-running or background agents</t>
  </si>
  <si>
    <t xml:space="preserve">Defined behavior exists for each guardrail failure mode: block, warn, log or route to a person. It has been tested.</t>
  </si>
  <si>
    <t xml:space="preserve">Runbook with the fallback decision tree and the last test results.</t>
  </si>
  <si>
    <t xml:space="preserve">SHA-01</t>
  </si>
  <si>
    <t xml:space="preserve">Shadow AI &amp; Usage Discovery</t>
  </si>
  <si>
    <t xml:space="preserve">Tool visibility</t>
  </si>
  <si>
    <t xml:space="preserve">The tool shows up in the shadow AI discovery platform or the identity provider's application list.</t>
  </si>
  <si>
    <t xml:space="preserve">Discovery platform export or IdP application entry.</t>
  </si>
  <si>
    <t xml:space="preserve">SHA-02</t>
  </si>
  <si>
    <t xml:space="preserve">Sanctioned status</t>
  </si>
  <si>
    <t xml:space="preserve">The tool is marked sanctioned or approved in discovery, so its use is not flagged as shadow AI.</t>
  </si>
  <si>
    <t xml:space="preserve">Discovery platform record with status Sanctioned or Approved.</t>
  </si>
  <si>
    <t xml:space="preserve">SHA-03</t>
  </si>
  <si>
    <t xml:space="preserve">User access tracked</t>
  </si>
  <si>
    <t xml:space="preserve">1 function: LLM prompt processing (text)</t>
  </si>
  <si>
    <t xml:space="preserve">Who used the tool, when and for what is logged.</t>
  </si>
  <si>
    <t xml:space="preserve">Access log export for a sample week: user, timestamp, action.</t>
  </si>
  <si>
    <t xml:space="preserve">SHA-04</t>
  </si>
  <si>
    <t xml:space="preserve">Usage analytics</t>
  </si>
  <si>
    <t xml:space="preserve">Usage patterns, cost and anomalies are reviewed on a cadence.</t>
  </si>
  <si>
    <t xml:space="preserve">Dashboard or report showing usage trend, cost and the anomaly rule.</t>
  </si>
  <si>
    <t xml:space="preserve">SHA-05</t>
  </si>
  <si>
    <t xml:space="preserve">Personal-account blocking</t>
  </si>
  <si>
    <t xml:space="preserve">Corporate egress blocks personal accounts of sanctioned AI tools, so company data stays in the company tenant.</t>
  </si>
  <si>
    <t xml:space="preserve">CASB or proxy rule and a sample detection.</t>
  </si>
  <si>
    <t xml:space="preserve">Observability &amp; Evaluation</t>
  </si>
  <si>
    <t xml:space="preserve">Audit logging</t>
  </si>
  <si>
    <t xml:space="preserve">35 functions: Time, date and timezone calculations; Public data lookups (weather, rates, reference APIs); Geographic and mapping information; Basic system health checks (read-only); Static file read (public or non-sensitive); Online search interfaces; Web data extraction and scraping; Log processing and event analysis; Enterprise data queries (read-only); Internal documentation retrieval; Code repository read access; Email, chat and messaging read access; LLM prompt processing (text); AI response generation (text); Vector database queries (read-only); Prompt chaining and workflow orchestration; Automated file handling (read and write); Filesystem traversal outside the workspace; Code repository write access; Automated messaging and email send; Business intelligence system updates; HR, financial or PII system access; Cloud storage access (S3, GCS, Azure Blob); External API calls (outbound, allowlisted); RAG with confidential documents; Tool and function calling by AI agents; Human-in-the-loop approval workflows; Sub-agent spawning (bounded); Model-in-the-loop decision routing; Content generation for external publication; Shell or bash execution; Privileged system automation (production infrastructure); Infrastructure automation (Terraform, Kubernetes); Autonomous decision-making on consequential actions; Computer use: screen capture, mouse and keyboard control</t>
  </si>
  <si>
    <t xml:space="preserve">Prompts, responses and tool calls are logged with user, timestamp, model version and request ID.</t>
  </si>
  <si>
    <t xml:space="preserve">Log sample with those fields.</t>
  </si>
  <si>
    <t xml:space="preserve">OBS-02</t>
  </si>
  <si>
    <t xml:space="preserve">Log retention</t>
  </si>
  <si>
    <t xml:space="preserve">Logs are retained for the policy period (13 months is a common floor for regulated data) in a location that survives the tool.</t>
  </si>
  <si>
    <t xml:space="preserve">Retention configuration: days retained and storage location.</t>
  </si>
  <si>
    <t xml:space="preserve">OBS-03</t>
  </si>
  <si>
    <t xml:space="preserve">SIEM integration</t>
  </si>
  <si>
    <t xml:space="preserve">9 functions: Enterprise data queries (read-only); Internal documentation retrieval; Email, chat and messaging read access; Automated file handling (read and write); Enterprise file indexing and search; HR, financial or PII system access; Cloud storage access (S3, GCS, Azure Blob); RAG with confidential documents; Log analysis containing PII or regulated data</t>
  </si>
  <si>
    <t xml:space="preserve">AI tool logs reach the SIEM, with at least one AI-specific detection rule (injection blocks, off-policy tool calls, cost spikes).</t>
  </si>
  <si>
    <t xml:space="preserve">SIEM log source active and the detection rule.</t>
  </si>
  <si>
    <t xml:space="preserve">OBS-04</t>
  </si>
  <si>
    <t xml:space="preserve">Alerting configured</t>
  </si>
  <si>
    <t xml:space="preserve">18 functions: Automated task execution (scoped); Enterprise data queries (read-only); Internal documentation retrieval; Email, chat and messaging read access; Automated file handling (read and write); Code repository write access; Enterprise file indexing and search; Automated messaging and email send; Business intelligence system updates; HR, financial or PII system access; External API calls (outbound, allowlisted); RAG with confidential documents; Tool and function calling by AI agents; Vector database write access; MCP server: community or open source; Long-running or background agents; Privileged system automation (production infrastructure); Infrastructure automation (Terraform, Kubernetes)</t>
  </si>
  <si>
    <t xml:space="preserve">Alerts fire for anomalies, policy violations and cost spikes, and someone owns them.</t>
  </si>
  <si>
    <t xml:space="preserve">Alert rule configuration and a sample notification.</t>
  </si>
  <si>
    <t xml:space="preserve">OBS-05</t>
  </si>
  <si>
    <t xml:space="preserve">Performance and drift monitoring</t>
  </si>
  <si>
    <t xml:space="preserve">4 functions: AI response generation (text); Prompt chaining and workflow orchestration; Model-in-the-loop decision routing; Dynamic model swap at runtime</t>
  </si>
  <si>
    <t xml:space="preserve">Model quality, drift, hallucination rate and latency are monitored against a baseline.</t>
  </si>
  <si>
    <t xml:space="preserve">Dashboard with the trend lines and the baseline.</t>
  </si>
  <si>
    <t xml:space="preserve">OBS-06</t>
  </si>
  <si>
    <t xml:space="preserve">Red team and adversarial testing</t>
  </si>
  <si>
    <t xml:space="preserve">12 functions: Web data extraction and scraping; Automated task execution (scoped); Code execution in an ephemeral sandbox; RAG with confidential documents; Tool and function calling by AI agents; MCP server: community or open source; Autonomous web browsing; Shell or bash execution; Unrestricted code execution (no sandbox); Autonomous agent with unrestricted API access; Computer use: screen capture, mouse and keyboard control; MCP server: custom or self-built (unreviewed)</t>
  </si>
  <si>
    <t xml:space="preserve">Adversarial testing runs on a schedule against a current attack corpus, including injection, jailbreak and agent-specific attacks.</t>
  </si>
  <si>
    <t xml:space="preserve">Red team report: date, findings, remediation status.</t>
  </si>
  <si>
    <t xml:space="preserve">OBS-07</t>
  </si>
  <si>
    <t xml:space="preserve">Bias and fairness testing</t>
  </si>
  <si>
    <t xml:space="preserve">3 functions: HR, financial or PII system access; Model-in-the-loop decision routing; Autonomous decision-making on consequential actions</t>
  </si>
  <si>
    <t xml:space="preserve">Where the tool informs decisions about people, bias and fairness are evaluated on a protected-class test set.</t>
  </si>
  <si>
    <t xml:space="preserve">Bias report with results per class and remediation tickets.</t>
  </si>
  <si>
    <t xml:space="preserve">OBS-08</t>
  </si>
  <si>
    <t xml:space="preserve">Agent behavior monitoring</t>
  </si>
  <si>
    <t xml:space="preserve">21 functions: Automated task execution (scoped); Prompt chaining and workflow orchestration; MCP server: vendor-signed or verified; Filesystem traversal outside the workspace; Automated messaging and email send; Agent memory write-back to shared stores; Code execution in an ephemeral sandbox; Tool and function calling by AI agents; MCP server: community or open source; Sub-agent spawning (bounded); Dynamic tool loading at runtime; Long-running or background agents; Autonomous web browsing; Shell or bash execution; Privileged system automation (production infrastructure); Unrestricted code execution (no sandbox); Autonomous agent with unrestricted API access; Multi-agent orchestration (autonomous); Agent task delegation or unbounded spawning; Computer use: screen capture, mouse and keyboard control; MCP server: custom or self-built (unreviewed)</t>
  </si>
  <si>
    <t xml:space="preserve">Agent actions are monitored for scope drift and off-task behavior: unusual tool-call patterns, action budgets exceeded, new destinations. Deviations alert a person.</t>
  </si>
  <si>
    <t xml:space="preserve">Monitoring rule set, the action budget, and a sample alert.</t>
  </si>
  <si>
    <t xml:space="preserve">DAT-01</t>
  </si>
  <si>
    <t xml:space="preserve">Data Protection for AI</t>
  </si>
  <si>
    <t xml:space="preserve">DLP rules active</t>
  </si>
  <si>
    <t xml:space="preserve">11 functions: Online search interfaces; Enterprise data queries (read-only); Internal documentation retrieval; Email, chat and messaging read access; Automated file handling (read and write); Enterprise file indexing and search; HR, financial or PII system access; Cloud storage access (S3, GCS, Azure Blob); External API calls (outbound, allowlisted); RAG with confidential documents; Autonomous web browsing</t>
  </si>
  <si>
    <t xml:space="preserve">DLP policies cover the tool's data flows: prompts, uploads, responses and connectors.</t>
  </si>
  <si>
    <t xml:space="preserve">DLP policy with the tool in scope and a sample block.</t>
  </si>
  <si>
    <t xml:space="preserve">DAT-02</t>
  </si>
  <si>
    <t xml:space="preserve">PII detection</t>
  </si>
  <si>
    <t xml:space="preserve">15 functions: Geographic and mapping information; Log processing and event analysis; Enterprise data queries (read-only); Email, chat and messaging read access; Vector database queries (read-only); Enterprise file indexing and search; AI memory and context storage (user-scoped); Agent memory write-back to shared stores; HR, financial or PII system access; RAG with confidential documents; Vector database write access; Fine-tuning with customer or non-production data; Log analysis containing PII or regulated data; Model fine-tuning with production data; Computer use: screen capture, mouse and keyboard control</t>
  </si>
  <si>
    <t xml:space="preserve">PII detection runs on inputs and outputs, with the detected types listed.</t>
  </si>
  <si>
    <t xml:space="preserve">Scanner configuration and a sample detection.</t>
  </si>
  <si>
    <t xml:space="preserve">DAT-03</t>
  </si>
  <si>
    <t xml:space="preserve">Data classification</t>
  </si>
  <si>
    <t xml:space="preserve">17 functions: Static file read (public or non-sensitive); Log processing and event analysis; Enterprise data queries (read-only); Internal documentation retrieval; Code repository read access; Email, chat and messaging read access; Automated file handling (read and write); Enterprise file indexing and search; AI memory and context storage (user-scoped); Agent memory write-back to shared stores; HR, financial or PII system access; Cloud storage access (S3, GCS, Azure Blob); RAG with confidential documents; Vector database write access; Fine-tuning with customer or non-production data; Log analysis containing PII or regulated data; Model fine-tuning with production data</t>
  </si>
  <si>
    <t xml:space="preserve">The data the tool handles is classified using the organization's own labels, and the highest class is recorded.</t>
  </si>
  <si>
    <t xml:space="preserve">Classification labels on the data sources and on the Tool Registry row.</t>
  </si>
  <si>
    <t xml:space="preserve">DAT-04</t>
  </si>
  <si>
    <t xml:space="preserve">Encryption in transit</t>
  </si>
  <si>
    <t xml:space="preserve">All data in transit uses TLS 1.2 or higher, TLS 1.3 preferred, including agent-to-agent and tool calls.</t>
  </si>
  <si>
    <t xml:space="preserve">TLS report or vendor attestation.</t>
  </si>
  <si>
    <t xml:space="preserve">DAT-05</t>
  </si>
  <si>
    <t xml:space="preserve">Encryption at rest</t>
  </si>
  <si>
    <t xml:space="preserve">4 functions: LLM prompt processing (text); AI memory and context storage (user-scoped); Cloud storage access (S3, GCS, Azure Blob); RAG with confidential documents</t>
  </si>
  <si>
    <t xml:space="preserve">Data the tool stores is encrypted at rest. Regulated workloads use customer-managed keys.</t>
  </si>
  <si>
    <t xml:space="preserve">Encryption configuration or vendor attestation, with the CMK reference for High and Severe.</t>
  </si>
  <si>
    <t xml:space="preserve">DAT-06</t>
  </si>
  <si>
    <t xml:space="preserve">Data masking</t>
  </si>
  <si>
    <t xml:space="preserve">4 functions: Log processing and event analysis; HR, financial or PII system access; Log analysis containing PII or regulated data; Model fine-tuning with production data</t>
  </si>
  <si>
    <t xml:space="preserve">PII is masked or tokenized in logs, evaluation sets and non-production outputs.</t>
  </si>
  <si>
    <t xml:space="preserve">Sample masked log entry.</t>
  </si>
  <si>
    <t xml:space="preserve">DAT-07</t>
  </si>
  <si>
    <t xml:space="preserve">Retention policies</t>
  </si>
  <si>
    <t xml:space="preserve">4 functions: LLM prompt processing (text); Prompt caching across requests; AI memory and context storage (user-scoped); Model fine-tuning with production data</t>
  </si>
  <si>
    <t xml:space="preserve">Retention limits for prompts, outputs, memory and uploads are set and enforced, on the vendor side and yours.</t>
  </si>
  <si>
    <t xml:space="preserve">Retention configuration or vendor attestation with the period.</t>
  </si>
  <si>
    <t xml:space="preserve">DAT-08</t>
  </si>
  <si>
    <t xml:space="preserve">Training data opt-out</t>
  </si>
  <si>
    <t xml:space="preserve">The organization's data is excluded from vendor model training, in writing, at the plan in use.</t>
  </si>
  <si>
    <t xml:space="preserve">DPA or AI addendum clause, plus the setting where the opt-out is a configuration.</t>
  </si>
  <si>
    <t xml:space="preserve">DAT-09</t>
  </si>
  <si>
    <t xml:space="preserve">Content provenance and watermarking</t>
  </si>
  <si>
    <t xml:space="preserve">1 function: Content generation for external publication</t>
  </si>
  <si>
    <t xml:space="preserve">AI-generated content that leaves the organization is marked or disclosed (C2PA, watermark, labeled output).</t>
  </si>
  <si>
    <t xml:space="preserve">Provenance tooling configuration and a sample marked output.</t>
  </si>
  <si>
    <t xml:space="preserve">DAT-10</t>
  </si>
  <si>
    <t xml:space="preserve">Incident disclosure to users</t>
  </si>
  <si>
    <t xml:space="preserve">4 functions: LLM prompt processing (text); Model-in-the-loop decision routing; Content generation for external publication; Autonomous decision-making on consequential actions</t>
  </si>
  <si>
    <t xml:space="preserve">A process exists to tell affected users about an AI-related incident, with an owner and a template.</t>
  </si>
  <si>
    <t xml:space="preserve">Incident communications template and the named owner.</t>
  </si>
  <si>
    <t xml:space="preserve">NHI-01</t>
  </si>
  <si>
    <t xml:space="preserve">NHI &amp; Agentic Access</t>
  </si>
  <si>
    <t xml:space="preserve">Service account scoping</t>
  </si>
  <si>
    <t xml:space="preserve">18 functions: Basic system health checks (read-only); Static file read (public or non-sensitive); Log processing and event analysis; Enterprise data queries (read-only); Internal documentation retrieval; Code repository read access; Email, chat and messaging read access; Vector database queries (read-only); Automated file handling (read and write); Filesystem traversal outside the workspace; Enterprise file indexing and search; Business intelligence system updates; HR, financial or PII system access; Cloud storage access (S3, GCS, Azure Blob); RAG with confidential documents; Log analysis containing PII or regulated data; Shell or bash execution; Infrastructure automation (Terraform, Kubernetes)</t>
  </si>
  <si>
    <t xml:space="preserve">Service accounts and agent identities carry least privilege scoped to the workload: named resources, named actions, read-only where read is enough.</t>
  </si>
  <si>
    <t xml:space="preserve">IAM policy export for the account or agent.</t>
  </si>
  <si>
    <t xml:space="preserve">NHI-02</t>
  </si>
  <si>
    <t xml:space="preserve">Secrets management</t>
  </si>
  <si>
    <t xml:space="preserve">17 functions: Basic system health checks (read-only); Automated task execution (scoped); Enterprise data queries (read-only); Internal documentation retrieval; Code repository read access; Email, chat and messaging read access; Automated file handling (read and write); Filesystem traversal outside the workspace; Code repository write access; Enterprise file indexing and search; AI memory and context storage (user-scoped); HR, financial or PII system access; Cloud storage access (S3, GCS, Azure Blob); External API calls (outbound, allowlisted); RAG with confidential documents; Tool and function calling by AI agents; Shell or bash execution</t>
  </si>
  <si>
    <t xml:space="preserve">Credentials live in the vault or secrets manager. None in code, configuration, prompts or agent memory.</t>
  </si>
  <si>
    <t xml:space="preserve">Vault reference in the configuration and a clean secret-scan result.</t>
  </si>
  <si>
    <t xml:space="preserve">NHI-03</t>
  </si>
  <si>
    <t xml:space="preserve">Credential rotation</t>
  </si>
  <si>
    <t xml:space="preserve">8 functions: Enterprise data queries (read-only); Internal documentation retrieval; Code repository read access; Email, chat and messaging read access; Automated file handling (read and write); HR, financial or PII system access; Cloud storage access (S3, GCS, Azure Blob); Tool and function calling by AI agents</t>
  </si>
  <si>
    <t xml:space="preserve">Credentials rotate on the policy cadence, automated where the platform supports it.</t>
  </si>
  <si>
    <t xml:space="preserve">Rotation schedule and last rotation timestamp.</t>
  </si>
  <si>
    <t xml:space="preserve">NHI-04</t>
  </si>
  <si>
    <t xml:space="preserve">Short-lived tokens</t>
  </si>
  <si>
    <t xml:space="preserve">9 functions: Automated task execution (scoped); Code repository write access; Cloud storage access (S3, GCS, Azure Blob); External API calls (outbound, allowlisted); Tool and function calling by AI agents; Long-running or background agents; Privileged system automation (production infrastructure); Infrastructure automation (Terraform, Kubernetes); Autonomous agent with unrestricted API access</t>
  </si>
  <si>
    <t xml:space="preserve">Tokens expire within 24 hours, 8 hours for privileged workloads, with just-in-time issuance where possible.</t>
  </si>
  <si>
    <t xml:space="preserve">Token configuration showing the TTL.</t>
  </si>
  <si>
    <t xml:space="preserve">NHI-05</t>
  </si>
  <si>
    <t xml:space="preserve">Agent authentication</t>
  </si>
  <si>
    <t xml:space="preserve">11 functions: Automated task execution (scoped); Prompt chaining and workflow orchestration; MCP server: vendor-signed or verified; HR, financial or PII system access; Tool and function calling by AI agents; MCP server: community or open source; Sub-agent spawning (bounded); Privileged system automation (production infrastructure); Infrastructure automation (Terraform, Kubernetes); Multi-agent orchestration (autonomous); MCP server: custom or self-built (unreviewed)</t>
  </si>
  <si>
    <t xml:space="preserve">Agents hold a strong identity of their own (mTLS, SPIFFE, workload identity or a PAM-issued credential) and never borrow a person's.</t>
  </si>
  <si>
    <t xml:space="preserve">Certificate or gateway authentication policy for the agent identity.</t>
  </si>
  <si>
    <t xml:space="preserve">NHI-06</t>
  </si>
  <si>
    <t xml:space="preserve">Intent validation</t>
  </si>
  <si>
    <t xml:space="preserve">9 functions: Automated task execution (scoped); Automated messaging and email send; Tool and function calling by AI agents; Human-in-the-loop approval workflows; Dynamic tool loading at runtime; Autonomous web browsing; Multi-agent orchestration (autonomous); Autonomous decision-making on consequential actions; Computer use: screen capture, mouse and keyboard control</t>
  </si>
  <si>
    <t xml:space="preserve">Agent actions are checked against a catalog of permitted intents before they run.</t>
  </si>
  <si>
    <t xml:space="preserve">Intent policy and a sample blocked action.</t>
  </si>
  <si>
    <t xml:space="preserve">NHI-07</t>
  </si>
  <si>
    <t xml:space="preserve">Tool and function authorization</t>
  </si>
  <si>
    <t xml:space="preserve">15 functions: Automated task execution (scoped); Prompt chaining and workflow orchestration; MCP server: vendor-signed or verified; Code repository write access; Automated messaging and email send; Business intelligence system updates; External API calls (outbound, allowlisted); Tool and function calling by AI agents; MCP server: community or open source; Dynamic tool loading at runtime; Shell or bash execution; Privileged system automation (production infrastructure); Infrastructure automation (Terraform, Kubernetes); Autonomous agent with unrestricted API access; MCP server: custom or self-built (unreviewed)</t>
  </si>
  <si>
    <t xml:space="preserve">Every tool call is authorized against an allowlisted tool catalog and logged with its parameters.</t>
  </si>
  <si>
    <t xml:space="preserve">Tool catalog, authorization policy and a sample log line.</t>
  </si>
  <si>
    <t xml:space="preserve">NHI-08</t>
  </si>
  <si>
    <t xml:space="preserve">Sub-agent spawn limits</t>
  </si>
  <si>
    <t xml:space="preserve">4 functions: Prompt chaining and workflow orchestration; Sub-agent spawning (bounded); Multi-agent orchestration (autonomous); Agent task delegation or unbounded spawning</t>
  </si>
  <si>
    <t xml:space="preserve">Spawn depth and count are limited, each sub-agent carries a quota, and lineage is auditable back to the parent and the requesting person.</t>
  </si>
  <si>
    <t xml:space="preserve">Spawn policy and a sample lineage export.</t>
  </si>
  <si>
    <t xml:space="preserve">NHI-09</t>
  </si>
  <si>
    <t xml:space="preserve">Autonomous action limits</t>
  </si>
  <si>
    <t xml:space="preserve">17 functions: Automated file handling (read and write); Code repository write access; Automated messaging and email send; Agent memory write-back to shared stores; Business intelligence system updates; Vector database write access; Human-in-the-loop approval workflows; Long-running or background agents; Model-in-the-loop decision routing; Content generation for external publication; Autonomous web browsing; Privileged system automation (production infrastructure); Infrastructure automation (Terraform, Kubernetes); Autonomous agent with unrestricted API access; Agent task delegation or unbounded spawning; Autonomous decision-making on consequential actions; Computer use: screen capture, mouse and keyboard control</t>
  </si>
  <si>
    <t xml:space="preserve">Irreversible or consequential actions require a person's approval. The autonomy level is written down and matches the Org Profile ceiling.</t>
  </si>
  <si>
    <t xml:space="preserve">Autonomy policy and the action-threshold configuration.</t>
  </si>
  <si>
    <t xml:space="preserve">NHI-10</t>
  </si>
  <si>
    <t xml:space="preserve">Agentic boundary controls</t>
  </si>
  <si>
    <t xml:space="preserve">7 functions: Tool and function calling by AI agents; Privileged system automation (production infrastructure); Unrestricted code execution (no sandbox); Infrastructure automation (Terraform, Kubernetes); Autonomous agent with unrestricted API access; Multi-agent orchestration (autonomous); Agent task delegation or unbounded spawning</t>
  </si>
  <si>
    <t xml:space="preserve">Multi-agent systems have trust boundaries, authenticated inter-agent messages and segmentation between components.</t>
  </si>
  <si>
    <t xml:space="preserve">Agent architecture diagram and the boundary enforcement configuration.</t>
  </si>
  <si>
    <t xml:space="preserve">NHI-11</t>
  </si>
  <si>
    <t xml:space="preserve">Shell and filesystem sandbox</t>
  </si>
  <si>
    <t xml:space="preserve">8 functions: Filesystem traversal outside the workspace; Code execution in an ephemeral sandbox; MCP server: community or open source; Dynamic tool loading at runtime; Shell or bash execution; Unrestricted code execution (no sandbox); Computer use: screen capture, mouse and keyboard control; MCP server: custom or self-built (unreviewed)</t>
  </si>
  <si>
    <t xml:space="preserve">Shell and filesystem access runs in an ephemeral sandbox with a path allowlist, a command allowlist and no privilege escalation.</t>
  </si>
  <si>
    <t xml:space="preserve">Sandbox image, path allowlist and command allowlist.</t>
  </si>
  <si>
    <t xml:space="preserve">NHI-12</t>
  </si>
  <si>
    <t xml:space="preserve">Agent memory protection</t>
  </si>
  <si>
    <t xml:space="preserve">2 functions: AI memory and context storage (user-scoped); Agent memory write-back to shared stores</t>
  </si>
  <si>
    <t xml:space="preserve">Memory and context stores are isolated per principal, writes are validated, secrets are blocked from memory, and a purge path exists.</t>
  </si>
  <si>
    <t xml:space="preserve">Memory store configuration, the write validation rule and the purge procedure.</t>
  </si>
  <si>
    <t xml:space="preserve">SUP-01</t>
  </si>
  <si>
    <t xml:space="preserve">AI Supply Chain</t>
  </si>
  <si>
    <t xml:space="preserve">Model provenance</t>
  </si>
  <si>
    <t xml:space="preserve">2 functions: LLM prompt processing (text); Dynamic model swap at runtime</t>
  </si>
  <si>
    <t xml:space="preserve">Model source, version and cryptographic hash are documented, with the signer.</t>
  </si>
  <si>
    <t xml:space="preserve">Model registry entry: source, version, hash, signer.</t>
  </si>
  <si>
    <t xml:space="preserve">SUP-02</t>
  </si>
  <si>
    <t xml:space="preserve">Model version pinning</t>
  </si>
  <si>
    <t xml:space="preserve">Deployments pin a specific model version or snapshot. No floating 'latest' alias in production.</t>
  </si>
  <si>
    <t xml:space="preserve">Deployment configuration with the explicit version reference.</t>
  </si>
  <si>
    <t xml:space="preserve">SUP-03</t>
  </si>
  <si>
    <t xml:space="preserve">Model rollback procedure</t>
  </si>
  <si>
    <t xml:space="preserve">A tested rollback exists for a model version that degrades quality or safety.</t>
  </si>
  <si>
    <t xml:space="preserve">Rollback runbook and the last test date.</t>
  </si>
  <si>
    <t xml:space="preserve">SUP-04</t>
  </si>
  <si>
    <t xml:space="preserve">Training data lineage</t>
  </si>
  <si>
    <t xml:space="preserve">2 functions: Fine-tuning with customer or non-production data; Model fine-tuning with production data</t>
  </si>
  <si>
    <t xml:space="preserve">Training and fine-tuning data sources are documented with their rights and licensing.</t>
  </si>
  <si>
    <t xml:space="preserve">Lineage document with sources and rights.</t>
  </si>
  <si>
    <t xml:space="preserve">SUP-05</t>
  </si>
  <si>
    <t xml:space="preserve">Training data opt-in</t>
  </si>
  <si>
    <t xml:space="preserve">Where personal or customer data is used for training, affirmative consent is captured.</t>
  </si>
  <si>
    <t xml:space="preserve">Consent record: dataset, scope, date.</t>
  </si>
  <si>
    <t xml:space="preserve">SUP-06</t>
  </si>
  <si>
    <t xml:space="preserve">ML pipeline security</t>
  </si>
  <si>
    <t xml:space="preserve">4 functions: Code repository write access; Fine-tuning with customer or non-production data; Model fine-tuning with production data; MCP server: custom or self-built (unreviewed)</t>
  </si>
  <si>
    <t xml:space="preserve">The ML and agent build pipeline has access controls, signed commits and signed artifacts.</t>
  </si>
  <si>
    <t xml:space="preserve">Pipeline configuration: access controls, signed-artifact policy, audit log.</t>
  </si>
  <si>
    <t xml:space="preserve">SUP-07</t>
  </si>
  <si>
    <t xml:space="preserve">Model integrity verification</t>
  </si>
  <si>
    <t xml:space="preserve">3 functions: Fine-tuning with customer or non-production data; Model fine-tuning with production data; Dynamic model swap at runtime</t>
  </si>
  <si>
    <t xml:space="preserve">Model signatures and hashes are verified at deployment, and model files are scanned before load.</t>
  </si>
  <si>
    <t xml:space="preserve">Signed model artifact and the verification log at deploy time.</t>
  </si>
  <si>
    <t xml:space="preserve">SUP-08</t>
  </si>
  <si>
    <t xml:space="preserve">Third-party model assessment</t>
  </si>
  <si>
    <t xml:space="preserve">External and open models are assessed for security, bias and license risk before use.</t>
  </si>
  <si>
    <t xml:space="preserve">Completed model assessment, filed.</t>
  </si>
  <si>
    <t xml:space="preserve">SUP-09</t>
  </si>
  <si>
    <t xml:space="preserve">Plugin, extension and MCP validation</t>
  </si>
  <si>
    <t xml:space="preserve">4 functions: MCP server: vendor-signed or verified; MCP server: community or open source; Dynamic tool loading at runtime; MCP server: custom or self-built (unreviewed)</t>
  </si>
  <si>
    <t xml:space="preserve">Agent plugins, extensions and MCP servers are reviewed, signature-verified and pinned before use, and come from an approved registry.</t>
  </si>
  <si>
    <t xml:space="preserve">Review record and the approved registry entry.</t>
  </si>
  <si>
    <t xml:space="preserve">SUP-10</t>
  </si>
  <si>
    <t xml:space="preserve">Vector store security</t>
  </si>
  <si>
    <t xml:space="preserve">5 functions: Internal documentation retrieval; Vector database queries (read-only); Enterprise file indexing and search; RAG with confidential documents; Vector database write access</t>
  </si>
  <si>
    <t xml:space="preserve">Vector stores are protected against poisoning and unauthorized access, with need-to-know enforced at retrieval.</t>
  </si>
  <si>
    <t xml:space="preserve">Access control configuration and poisoning test results.</t>
  </si>
  <si>
    <t xml:space="preserve">SUP-11</t>
  </si>
  <si>
    <t xml:space="preserve">System prompt protection</t>
  </si>
  <si>
    <t xml:space="preserve">System prompts resist extraction, and no secrets or privileged instructions sit in them.</t>
  </si>
  <si>
    <t xml:space="preserve">Extraction test results and the system prompt review.</t>
  </si>
  <si>
    <t xml:space="preserve">SUP-12</t>
  </si>
  <si>
    <t xml:space="preserve">Embedding integrity</t>
  </si>
  <si>
    <t xml:space="preserve">5 functions: Vector database queries (read-only); Enterprise file indexing and search; Agent memory write-back to shared stores; RAG with confidential documents; Vector database write access</t>
  </si>
  <si>
    <t xml:space="preserve">The embedding pipeline is integrity-checked, with hashes verified on generation and ingestion.</t>
  </si>
  <si>
    <t xml:space="preserve">Pipeline audit and the hash verification log.</t>
  </si>
  <si>
    <t xml:space="preserve">SUP-13</t>
  </si>
  <si>
    <t xml:space="preserve">Agent action attestation</t>
  </si>
  <si>
    <t xml:space="preserve">9 functions: Human-in-the-loop approval workflows; Sub-agent spawning (bounded); Privileged system automation (production infrastructure); Unrestricted code execution (no sandbox); Infrastructure automation (Terraform, Kubernetes); Autonomous agent with unrestricted API access; Multi-agent orchestration (autonomous); Agent task delegation or unbounded spawning; Autonomous decision-making on consequential actions</t>
  </si>
  <si>
    <t xml:space="preserve">Critical agent actions are signed and attested, so an action can be tied to the agent, the person and the inputs that produced it.</t>
  </si>
  <si>
    <t xml:space="preserve">Signed action log and the verification procedure.</t>
  </si>
  <si>
    <t xml:space="preserve">65 guardrails: 7 for every tool, 2 for vendor products, 56 by function. 21 flagged agentic. New in v3.0: OBS-08 Agent behavior monitoring and NHI-12 Agent memory protection.</t>
  </si>
  <si>
    <t xml:space="preserve">AI Security Risk Workbook: Intake Form</t>
  </si>
  <si>
    <t xml:space="preserve">One form per request, about five minutes. Only the tool name and the kind of request are required. Pick from the list wherever a row has one; Not sure is always an acceptable answer, and the skill fills what public pages can answer. A vendor product gets researched from what the vendor publishes. Something you built has no public pages, so section 4 is where its assessment comes from. Copy this tab per request, or use the standalone AI_Intake_Form.xlsx.</t>
  </si>
  <si>
    <t xml:space="preserve">Yours to fill in.</t>
  </si>
  <si>
    <t xml:space="preserve">Do not edit. Column A holds the keys the skill reads.</t>
  </si>
  <si>
    <t xml:space="preserve">1. The request</t>
  </si>
  <si>
    <t xml:space="preserve">Only the first two rows are required. Pick from the list wherever a row has one; Not sure is always an acceptable answer.</t>
  </si>
  <si>
    <t xml:space="preserve">intake.tool</t>
  </si>
  <si>
    <t xml:space="preserve">Tool, product or use case name</t>
  </si>
  <si>
    <t xml:space="preserve">Required.</t>
  </si>
  <si>
    <t xml:space="preserve">intake.source</t>
  </si>
  <si>
    <t xml:space="preserve">Which kind of request this is</t>
  </si>
  <si>
    <t xml:space="preserve">Required. It decides how the assessment runs: a vendor product is researched from what the vendor publishes, and an internal build is uncovered from section 4 because nothing about it is public.</t>
  </si>
  <si>
    <t xml:space="preserve">intake.vendor</t>
  </si>
  <si>
    <t xml:space="preserve">Vendor or builder</t>
  </si>
  <si>
    <t xml:space="preserve">The company. For an internal build, write Internal and the team.</t>
  </si>
  <si>
    <t xml:space="preserve">intake.website</t>
  </si>
  <si>
    <t xml:space="preserve">Website or internal location</t>
  </si>
  <si>
    <t xml:space="preserve">Helps the skill find the right company or repository.</t>
  </si>
  <si>
    <t xml:space="preserve">intake.requester</t>
  </si>
  <si>
    <t xml:space="preserve">Your name and role</t>
  </si>
  <si>
    <t xml:space="preserve">intake.business_owner</t>
  </si>
  <si>
    <t xml:space="preserve">Business owner of the use case</t>
  </si>
  <si>
    <t xml:space="preserve">The person who would decide whether a risk is worth taking.</t>
  </si>
  <si>
    <t xml:space="preserve">intake.stage</t>
  </si>
  <si>
    <t xml:space="preserve">Where this stands</t>
  </si>
  <si>
    <t xml:space="preserve">intake.requested_on</t>
  </si>
  <si>
    <t xml:space="preserve">Date of this request</t>
  </si>
  <si>
    <t xml:space="preserve">Lets the program measure the time from request to decision.</t>
  </si>
  <si>
    <t xml:space="preserve">2. How it will be used</t>
  </si>
  <si>
    <t xml:space="preserve">These map to the seven risk factors.</t>
  </si>
  <si>
    <t xml:space="preserve">intake.purpose</t>
  </si>
  <si>
    <t xml:space="preserve">What it will do for you</t>
  </si>
  <si>
    <t xml:space="preserve">A sentence is enough.</t>
  </si>
  <si>
    <t xml:space="preserve">intake.users</t>
  </si>
  <si>
    <t xml:space="preserve">Roughly how many people will use it</t>
  </si>
  <si>
    <t xml:space="preserve">intake.exposure</t>
  </si>
  <si>
    <t xml:space="preserve">Who can reach it</t>
  </si>
  <si>
    <t xml:space="preserve">intake.data_class</t>
  </si>
  <si>
    <t xml:space="preserve">Highest data class it will see or hold</t>
  </si>
  <si>
    <t xml:space="preserve">Four data classes, fixed across the workbook: Public (Low), Internal (Medium), Confidential (High), Restricted (Severe: PII, PHI, payment, export-controlled or other regulated data, and data about minors).</t>
  </si>
  <si>
    <t xml:space="preserve">intake.data_examples</t>
  </si>
  <si>
    <t xml:space="preserve">Name the kinds of data</t>
  </si>
  <si>
    <t xml:space="preserve">Contracts, tickets, source code, patient notes. A few words.</t>
  </si>
  <si>
    <t xml:space="preserve">intake.regulated</t>
  </si>
  <si>
    <t xml:space="preserve">Is any of it in scope for a regulator or a customer contract</t>
  </si>
  <si>
    <t xml:space="preserve">HIPAA, PCI DSS, a state privacy law, a client security addendum, the EU AI Act.</t>
  </si>
  <si>
    <t xml:space="preserve">intake.connects</t>
  </si>
  <si>
    <t xml:space="preserve">How it connects to your systems</t>
  </si>
  <si>
    <t xml:space="preserve">Pick the deepest one that applies.</t>
  </si>
  <si>
    <t xml:space="preserve">intake.actions</t>
  </si>
  <si>
    <t xml:space="preserve">What it can do on its own</t>
  </si>
  <si>
    <t xml:space="preserve">The agent autonomy factor.</t>
  </si>
  <si>
    <t xml:space="preserve">intake.tool_calling</t>
  </si>
  <si>
    <t xml:space="preserve">Calls tools, functions or APIs on its own</t>
  </si>
  <si>
    <t xml:space="preserve">intake.subagents</t>
  </si>
  <si>
    <t xml:space="preserve">Spawns sub-agents or delegates tasks to other agents</t>
  </si>
  <si>
    <t xml:space="preserve">intake.long_running</t>
  </si>
  <si>
    <t xml:space="preserve">Runs long or in the background without a person watching</t>
  </si>
  <si>
    <t xml:space="preserve">intake.computer_use</t>
  </si>
  <si>
    <t xml:space="preserve">Controls a screen, mouse or keyboard</t>
  </si>
  <si>
    <t xml:space="preserve">intake.memory</t>
  </si>
  <si>
    <t xml:space="preserve">Keeps memory or context between sessions</t>
  </si>
  <si>
    <t xml:space="preserve">intake.mcp</t>
  </si>
  <si>
    <t xml:space="preserve">MCP servers, plugins or extensions it loads</t>
  </si>
  <si>
    <t xml:space="preserve">intake.external</t>
  </si>
  <si>
    <t xml:space="preserve">Browses the web or calls outside services</t>
  </si>
  <si>
    <t xml:space="preserve">intake.training</t>
  </si>
  <si>
    <t xml:space="preserve">Is your data used to train or improve models</t>
  </si>
  <si>
    <t xml:space="preserve">3. Vendor products only</t>
  </si>
  <si>
    <t xml:space="preserve">Skip for an internal build. For an existing vendor adding AI, answer what you can and fill the last two rows.</t>
  </si>
  <si>
    <t xml:space="preserve">intake.plan</t>
  </si>
  <si>
    <t xml:space="preserve">Plan, tier or edition</t>
  </si>
  <si>
    <t xml:space="preserve">Controls such as SSO, audit export, data residency and the training opt-out often depend on the plan.</t>
  </si>
  <si>
    <t xml:space="preserve">intake.deployment</t>
  </si>
  <si>
    <t xml:space="preserve">How it runs</t>
  </si>
  <si>
    <t xml:space="preserve">intake.region</t>
  </si>
  <si>
    <t xml:space="preserve">Where our data is processed</t>
  </si>
  <si>
    <t xml:space="preserve">intake.trust_center</t>
  </si>
  <si>
    <t xml:space="preserve">Trust center or security page address</t>
  </si>
  <si>
    <t xml:space="preserve">If you know it.</t>
  </si>
  <si>
    <t xml:space="preserve">intake.doc_iso42001</t>
  </si>
  <si>
    <t xml:space="preserve">ISO/IEC 42001 certificate</t>
  </si>
  <si>
    <t xml:space="preserve">The AI management system standard. The strongest single piece of vendor-side evidence; look for it first.</t>
  </si>
  <si>
    <t xml:space="preserve">intake.doc_soc2</t>
  </si>
  <si>
    <t xml:space="preserve">SOC 2 report</t>
  </si>
  <si>
    <t xml:space="preserve">Usually behind a request button or an NDA on the trust center.</t>
  </si>
  <si>
    <t xml:space="preserve">intake.doc_dpa</t>
  </si>
  <si>
    <t xml:space="preserve">Data processing agreement, AI addendum or AI terms</t>
  </si>
  <si>
    <t xml:space="preserve">The document that says what happens to your prompts and data.</t>
  </si>
  <si>
    <t xml:space="preserve">intake.doc_limits</t>
  </si>
  <si>
    <t xml:space="preserve">Do any of those documents carry limits on use</t>
  </si>
  <si>
    <t xml:space="preserve">An NDA, access for one named person, a clause that bars AI processing.</t>
  </si>
  <si>
    <t xml:space="preserve">intake.ai_feature_default</t>
  </si>
  <si>
    <t xml:space="preserve">For an existing vendor: how the new AI feature arrived</t>
  </si>
  <si>
    <t xml:space="preserve">intake.ai_feature</t>
  </si>
  <si>
    <t xml:space="preserve">For an existing vendor: what the new AI feature does</t>
  </si>
  <si>
    <t xml:space="preserve">A sentence.</t>
  </si>
  <si>
    <t xml:space="preserve">4. Internal builds only</t>
  </si>
  <si>
    <t xml:space="preserve">There are no public pages for something you built, so this section is where the assessment comes from. The engineering owner usually answers it in ten minutes.</t>
  </si>
  <si>
    <t xml:space="preserve">intake.model_access</t>
  </si>
  <si>
    <t xml:space="preserve">How the model is reached</t>
  </si>
  <si>
    <t xml:space="preserve">intake.model</t>
  </si>
  <si>
    <t xml:space="preserve">Which model and provider</t>
  </si>
  <si>
    <t xml:space="preserve">GPT-5 through Azure OpenAI; Claude through Bedrock; Llama self-hosted.</t>
  </si>
  <si>
    <t xml:space="preserve">intake.hosting</t>
  </si>
  <si>
    <t xml:space="preserve">Where it runs</t>
  </si>
  <si>
    <t xml:space="preserve">intake.data_sources</t>
  </si>
  <si>
    <t xml:space="preserve">What it reads</t>
  </si>
  <si>
    <t xml:space="preserve">Systems, repositories, indexes, vector stores, document libraries.</t>
  </si>
  <si>
    <t xml:space="preserve">intake.tools</t>
  </si>
  <si>
    <t xml:space="preserve">What tools or actions it can call, and with whose credentials</t>
  </si>
  <si>
    <t xml:space="preserve">Each tool, what it does, and the identity it uses. Write None if it only answers.</t>
  </si>
  <si>
    <t xml:space="preserve">intake.identity</t>
  </si>
  <si>
    <t xml:space="preserve">How it authenticates to those systems</t>
  </si>
  <si>
    <t xml:space="preserve">intake.logging</t>
  </si>
  <si>
    <t xml:space="preserve">What is logged</t>
  </si>
  <si>
    <t xml:space="preserve">intake.log_destination</t>
  </si>
  <si>
    <t xml:space="preserve">Where the logs go</t>
  </si>
  <si>
    <t xml:space="preserve">intake.testing</t>
  </si>
  <si>
    <t xml:space="preserve">Testing done so far</t>
  </si>
  <si>
    <t xml:space="preserve">intake.eng_owner</t>
  </si>
  <si>
    <t xml:space="preserve">Engineering owner</t>
  </si>
  <si>
    <t xml:space="preserve">Who answers for the build.</t>
  </si>
  <si>
    <t xml:space="preserve">intake.go_live</t>
  </si>
  <si>
    <t xml:space="preserve">Planned go-live, or the date it went live</t>
  </si>
  <si>
    <t xml:space="preserve">AI Security Risk Workbook: Tool Registry</t>
  </si>
  <si>
    <t xml:space="preserve">Living inventory of every AI tool, vendor AI feature and internal build. Customize the columns for your organization (budget codes, contract dates, agent counts). Never delete a row: set Status to Decommissioned so the audit trail survives. The sample rows show the shape; replace them with yours.</t>
  </si>
  <si>
    <t xml:space="preserve">1. Quick reference</t>
  </si>
  <si>
    <t xml:space="preserve">Read from Org Profile section 2. Change it there.</t>
  </si>
  <si>
    <t xml:space="preserve">Status legend: Active | Under review | Suspended | Exception | Decommissioned. Source: Vendor product | Vendor-added AI | Internal build.</t>
  </si>
  <si>
    <t xml:space="preserve">2. Tool inventory</t>
  </si>
  <si>
    <t xml:space="preserve">Record ID</t>
  </si>
  <si>
    <t xml:space="preserve">Tool name</t>
  </si>
  <si>
    <t xml:space="preserve">Source</t>
  </si>
  <si>
    <t xml:space="preserve">Data class</t>
  </si>
  <si>
    <t xml:space="preserve">Functions</t>
  </si>
  <si>
    <t xml:space="preserve">Required families</t>
  </si>
  <si>
    <t xml:space="preserve">Guardrail status</t>
  </si>
  <si>
    <t xml:space="preserve">Business owner</t>
  </si>
  <si>
    <t xml:space="preserve">Technical owner</t>
  </si>
  <si>
    <t xml:space="preserve">Approved</t>
  </si>
  <si>
    <t xml:space="preserve">Last review</t>
  </si>
  <si>
    <t xml:space="preserve">Next review</t>
  </si>
  <si>
    <t xml:space="preserve">Status</t>
  </si>
  <si>
    <t xml:space="preserve">Exception #</t>
  </si>
  <si>
    <t xml:space="preserve">Model or provider</t>
  </si>
  <si>
    <t xml:space="preserve">Cost center</t>
  </si>
  <si>
    <t xml:space="preserve">Contract expiry</t>
  </si>
  <si>
    <t xml:space="preserve">Data residency</t>
  </si>
  <si>
    <t xml:space="preserve">Regulatory scope</t>
  </si>
  <si>
    <t xml:space="preserve">Annual spend</t>
  </si>
  <si>
    <t xml:space="preserve">Notes</t>
  </si>
  <si>
    <t xml:space="preserve">AIR-2026-CHATGPT</t>
  </si>
  <si>
    <t xml:space="preserve">ChatGPT Enterprise</t>
  </si>
  <si>
    <t xml:space="preserve">OpenAI</t>
  </si>
  <si>
    <t xml:space="preserve">Vendor product</t>
  </si>
  <si>
    <t xml:space="preserve">Internal</t>
  </si>
  <si>
    <t xml:space="preserve">Content generation, Q&amp;A</t>
  </si>
  <si>
    <t xml:space="preserve">Posture, Runtime, Shadow AI, Observability</t>
  </si>
  <si>
    <t xml:space="preserve">In scope: 21 of 21 passed</t>
  </si>
  <si>
    <t xml:space="preserve">Marketing</t>
  </si>
  <si>
    <t xml:space="preserve">IT Security</t>
  </si>
  <si>
    <t xml:space="preserve">2026-01-15</t>
  </si>
  <si>
    <t xml:space="preserve">2026-07-15</t>
  </si>
  <si>
    <t xml:space="preserve">2027-01-15</t>
  </si>
  <si>
    <t xml:space="preserve">OpenAI GPT-5</t>
  </si>
  <si>
    <t xml:space="preserve">MKT-100</t>
  </si>
  <si>
    <t xml:space="preserve">2027-01-14</t>
  </si>
  <si>
    <t xml:space="preserve">US</t>
  </si>
  <si>
    <t xml:space="preserve">SOC 2, ISO 27001</t>
  </si>
  <si>
    <t xml:space="preserve">$100K</t>
  </si>
  <si>
    <t xml:space="preserve">SSO through Entra; training opt-out in the agreement</t>
  </si>
  <si>
    <t xml:space="preserve">AIR-2026-COPILOT</t>
  </si>
  <si>
    <t xml:space="preserve">GitHub Copilot Enterprise</t>
  </si>
  <si>
    <t xml:space="preserve">Microsoft</t>
  </si>
  <si>
    <t xml:space="preserve">Code generation, code review, coding agent</t>
  </si>
  <si>
    <t xml:space="preserve">Posture, Runtime, Data Protection, NHI, Supply Chain</t>
  </si>
  <si>
    <t xml:space="preserve">In scope: 33 of 35 passed; NHI-04 and SUP-09 open</t>
  </si>
  <si>
    <t xml:space="preserve">Engineering</t>
  </si>
  <si>
    <t xml:space="preserve">DevSecOps</t>
  </si>
  <si>
    <t xml:space="preserve">2025-10-01</t>
  </si>
  <si>
    <t xml:space="preserve">OpenAI and Anthropic models through GitHub</t>
  </si>
  <si>
    <t xml:space="preserve">ENG-200</t>
  </si>
  <si>
    <t xml:space="preserve">2026-09-30</t>
  </si>
  <si>
    <t xml:space="preserve">US and EU</t>
  </si>
  <si>
    <t xml:space="preserve">SOC 2</t>
  </si>
  <si>
    <t xml:space="preserve">$480K</t>
  </si>
  <si>
    <t xml:space="preserve">Content exclusions configured; coding agent limited to pull requests</t>
  </si>
  <si>
    <t xml:space="preserve">AIR-2026-CLAUDE</t>
  </si>
  <si>
    <t xml:space="preserve">Claude Enterprise</t>
  </si>
  <si>
    <t xml:space="preserve">Anthropic</t>
  </si>
  <si>
    <t xml:space="preserve">Content generation, RAG, MCP connectors</t>
  </si>
  <si>
    <t xml:space="preserve">In scope: 35 of 35 passed</t>
  </si>
  <si>
    <t xml:space="preserve">Research</t>
  </si>
  <si>
    <t xml:space="preserve">2026-01-20</t>
  </si>
  <si>
    <t xml:space="preserve">2026-09-15</t>
  </si>
  <si>
    <t xml:space="preserve">2027-03-15</t>
  </si>
  <si>
    <t xml:space="preserve">Anthropic Claude</t>
  </si>
  <si>
    <t xml:space="preserve">R&amp;D-300</t>
  </si>
  <si>
    <t xml:space="preserve">2027-01-19</t>
  </si>
  <si>
    <t xml:space="preserve">$220K</t>
  </si>
  <si>
    <t xml:space="preserve">MCP connector allowlist; memory off for regulated users</t>
  </si>
  <si>
    <t xml:space="preserve">AIR-2026-BEDROCK</t>
  </si>
  <si>
    <t xml:space="preserve">AWS Bedrock (Claude, Llama)</t>
  </si>
  <si>
    <t xml:space="preserve">AWS</t>
  </si>
  <si>
    <t xml:space="preserve">Restricted</t>
  </si>
  <si>
    <t xml:space="preserve">LLM through API, Bedrock Agents, RAG</t>
  </si>
  <si>
    <t xml:space="preserve">All seven families</t>
  </si>
  <si>
    <t xml:space="preserve">In scope: 51 of 54 passed; 3 open</t>
  </si>
  <si>
    <t xml:space="preserve">Platform Engineering</t>
  </si>
  <si>
    <t xml:space="preserve">Cloud Security</t>
  </si>
  <si>
    <t xml:space="preserve">2026-02-10</t>
  </si>
  <si>
    <t xml:space="preserve">2026-08-10</t>
  </si>
  <si>
    <t xml:space="preserve">2026-11-10</t>
  </si>
  <si>
    <t xml:space="preserve">Anthropic Claude, Meta Llama through Bedrock</t>
  </si>
  <si>
    <t xml:space="preserve">PLAT-400</t>
  </si>
  <si>
    <t xml:space="preserve">Platform</t>
  </si>
  <si>
    <t xml:space="preserve">SOC 2, ISO 27001, HIPAA-eligible</t>
  </si>
  <si>
    <t xml:space="preserve">$1.2M</t>
  </si>
  <si>
    <t xml:space="preserve">VPC endpoints only; CloudTrail to the SIEM; customer-managed keys</t>
  </si>
  <si>
    <t xml:space="preserve">AIR-2026-CLAIMS</t>
  </si>
  <si>
    <t xml:space="preserve">Claims summarization assistant</t>
  </si>
  <si>
    <t xml:space="preserve">Internal (Data Science)</t>
  </si>
  <si>
    <t xml:space="preserve">Internal build</t>
  </si>
  <si>
    <t xml:space="preserve">RAG with confidential documents, AI response generation</t>
  </si>
  <si>
    <t xml:space="preserve">Posture, Runtime, Observability, Data Protection, Supply Chain</t>
  </si>
  <si>
    <t xml:space="preserve">In scope: 44 of 48 passed; red team scheduled</t>
  </si>
  <si>
    <t xml:space="preserve">Claims Operations</t>
  </si>
  <si>
    <t xml:space="preserve">ML Platform</t>
  </si>
  <si>
    <t xml:space="preserve">2026-09-01</t>
  </si>
  <si>
    <t xml:space="preserve">2026-12-01</t>
  </si>
  <si>
    <t xml:space="preserve">Azure OpenAI GPT-5</t>
  </si>
  <si>
    <t xml:space="preserve">DS-500</t>
  </si>
  <si>
    <t xml:space="preserve">HIPAA, SOC 2</t>
  </si>
  <si>
    <t xml:space="preserve">$850K</t>
  </si>
  <si>
    <t xml:space="preserve">Vector store need-to-know enforced; evaluation set on file</t>
  </si>
  <si>
    <t xml:space="preserve">AIR-2026-OPSAGENT</t>
  </si>
  <si>
    <t xml:space="preserve">Operations agent (pilot)</t>
  </si>
  <si>
    <t xml:space="preserve">Vendor X</t>
  </si>
  <si>
    <t xml:space="preserve">Task automation, external API calls, RAG</t>
  </si>
  <si>
    <t xml:space="preserve">In scope: 63 of 65 passed; HITL on every external action</t>
  </si>
  <si>
    <t xml:space="preserve">Operations</t>
  </si>
  <si>
    <t xml:space="preserve">Security</t>
  </si>
  <si>
    <t xml:space="preserve">2026-06-01</t>
  </si>
  <si>
    <t xml:space="preserve">2026-10-01</t>
  </si>
  <si>
    <t xml:space="preserve">Exception</t>
  </si>
  <si>
    <t xml:space="preserve">EXC-2026-001</t>
  </si>
  <si>
    <t xml:space="preserve">Vendor-hosted, OpenAI models</t>
  </si>
  <si>
    <t xml:space="preserve">OPS-600</t>
  </si>
  <si>
    <t xml:space="preserve">$400K</t>
  </si>
  <si>
    <t xml:space="preserve">Monthly review; kill switch tested quarterly</t>
  </si>
  <si>
    <t xml:space="preserve">AIR-2026-SLACKMCP</t>
  </si>
  <si>
    <t xml:space="preserve">Slack MCP server</t>
  </si>
  <si>
    <t xml:space="preserve">Anthropic registry</t>
  </si>
  <si>
    <t xml:space="preserve">Agent tool for Slack read and write</t>
  </si>
  <si>
    <t xml:space="preserve">Runtime, NHI, Supply Chain</t>
  </si>
  <si>
    <t xml:space="preserve">In scope: 40 of 42 passed</t>
  </si>
  <si>
    <t xml:space="preserve">IT Operations</t>
  </si>
  <si>
    <t xml:space="preserve">Security Engineering</t>
  </si>
  <si>
    <t xml:space="preserve">2026-03-10</t>
  </si>
  <si>
    <t xml:space="preserve">2026-09-10</t>
  </si>
  <si>
    <t xml:space="preserve">2026-12-10</t>
  </si>
  <si>
    <t xml:space="preserve">Not applicable</t>
  </si>
  <si>
    <t xml:space="preserve">IT-700</t>
  </si>
  <si>
    <t xml:space="preserve">$0</t>
  </si>
  <si>
    <t xml:space="preserve">Vendor-signed server; scoped to approved channels; per-call authorization</t>
  </si>
  <si>
    <t xml:space="preserve">AIR-2026-SFDC-AI</t>
  </si>
  <si>
    <t xml:space="preserve">Salesforce Agentforce (added AI feature)</t>
  </si>
  <si>
    <t xml:space="preserve">Salesforce</t>
  </si>
  <si>
    <t xml:space="preserve">Vendor-added AI</t>
  </si>
  <si>
    <t xml:space="preserve">Tool calling by AI agents, automated messaging</t>
  </si>
  <si>
    <t xml:space="preserve">Posture, Runtime, Data Protection, NHI</t>
  </si>
  <si>
    <t xml:space="preserve">In scope: 38 of 44 passed; 6 open</t>
  </si>
  <si>
    <t xml:space="preserve">Sales Operations</t>
  </si>
  <si>
    <t xml:space="preserve">CRM Platform</t>
  </si>
  <si>
    <t xml:space="preserve">2026-08-20</t>
  </si>
  <si>
    <t xml:space="preserve">2026-11-20</t>
  </si>
  <si>
    <t xml:space="preserve">Under review</t>
  </si>
  <si>
    <t xml:space="preserve">Salesforce Einstein Trust Layer</t>
  </si>
  <si>
    <t xml:space="preserve">SALES-250</t>
  </si>
  <si>
    <t xml:space="preserve">2027-06-30</t>
  </si>
  <si>
    <t xml:space="preserve">Included</t>
  </si>
  <si>
    <t xml:space="preserve">Feature was on by default; agent actions limited to drafts pending the open guardrails</t>
  </si>
  <si>
    <t xml:space="preserve">AIR-2026-PINECONE</t>
  </si>
  <si>
    <t xml:space="preserve">Pinecone (RAG vector store)</t>
  </si>
  <si>
    <t xml:space="preserve">Pinecone</t>
  </si>
  <si>
    <t xml:space="preserve">Vector database queries, vector database write</t>
  </si>
  <si>
    <t xml:space="preserve">Data Protection, Posture, NHI, Supply Chain</t>
  </si>
  <si>
    <t xml:space="preserve">In scope: 46 of 48 passed</t>
  </si>
  <si>
    <t xml:space="preserve">Data Platform</t>
  </si>
  <si>
    <t xml:space="preserve">2025-12-15</t>
  </si>
  <si>
    <t xml:space="preserve">DATA-800</t>
  </si>
  <si>
    <t xml:space="preserve">2026-12-14</t>
  </si>
  <si>
    <t xml:space="preserve">$180K</t>
  </si>
  <si>
    <t xml:space="preserve">Private Link; customer-managed keys; no PII in embeddings</t>
  </si>
  <si>
    <t xml:space="preserve">AIR-2025-SUPPORTBOT</t>
  </si>
  <si>
    <t xml:space="preserve">Legacy support chatbot</t>
  </si>
  <si>
    <t xml:space="preserve">Vendor Y</t>
  </si>
  <si>
    <t xml:space="preserve">Q&amp;A on internal documents</t>
  </si>
  <si>
    <t xml:space="preserve">Posture, Runtime, Observability</t>
  </si>
  <si>
    <t xml:space="preserve">DAT-01 failed at review</t>
  </si>
  <si>
    <t xml:space="preserve">Support</t>
  </si>
  <si>
    <t xml:space="preserve">2025-06-01</t>
  </si>
  <si>
    <t xml:space="preserve">Suspended</t>
  </si>
  <si>
    <t xml:space="preserve">Vendor-hosted, undisclosed</t>
  </si>
  <si>
    <t xml:space="preserve">SUP-900</t>
  </si>
  <si>
    <t xml:space="preserve">2026-05-31</t>
  </si>
  <si>
    <t xml:space="preserve">$24K</t>
  </si>
  <si>
    <t xml:space="preserve">DLP rule failed the audit; remediation in progress</t>
  </si>
  <si>
    <t xml:space="preserve">AI Security Risk Workbook: Exception Tracker</t>
  </si>
  <si>
    <t xml:space="preserve">Track exceptions for Severe-risk tools, guardrail deviations, vendor gaps, compliance gaps, emergency use, model versions and pilots. An exception is a recorded, temporary departure from your own policy, approved by the role Org Profile names (gov.exception_approver), with compensating controls and an expiry. It is not a risk acceptance: acceptance belongs to the business owner the record names.</t>
  </si>
  <si>
    <t xml:space="preserve">1. Exception types</t>
  </si>
  <si>
    <t xml:space="preserve">Type</t>
  </si>
  <si>
    <t xml:space="preserve">Description</t>
  </si>
  <si>
    <t xml:space="preserve">Approval required</t>
  </si>
  <si>
    <t xml:space="preserve">Maximum duration</t>
  </si>
  <si>
    <t xml:space="preserve">Renewal</t>
  </si>
  <si>
    <t xml:space="preserve">Severe tool</t>
  </si>
  <si>
    <t xml:space="preserve">A Severe-risk tool approved for use (prohibited by default)</t>
  </si>
  <si>
    <t xml:space="preserve">CISO, committee and executive sponsor</t>
  </si>
  <si>
    <t xml:space="preserve">12 months</t>
  </si>
  <si>
    <t xml:space="preserve">Required</t>
  </si>
  <si>
    <t xml:space="preserve">Guardrail bypass</t>
  </si>
  <si>
    <t xml:space="preserve">A required guardrail cannot be implemented yet</t>
  </si>
  <si>
    <t xml:space="preserve">Committee</t>
  </si>
  <si>
    <t xml:space="preserve">6 months</t>
  </si>
  <si>
    <t xml:space="preserve">Vendor risk</t>
  </si>
  <si>
    <t xml:space="preserve">The vendor does not meet the assessment criteria</t>
  </si>
  <si>
    <t xml:space="preserve">Committee and Legal</t>
  </si>
  <si>
    <t xml:space="preserve">Compliance gap</t>
  </si>
  <si>
    <t xml:space="preserve">A framework control cannot be satisfied</t>
  </si>
  <si>
    <t xml:space="preserve">Committee and Compliance</t>
  </si>
  <si>
    <t xml:space="preserve">Until remediated</t>
  </si>
  <si>
    <t xml:space="preserve">Review at 90 days</t>
  </si>
  <si>
    <t xml:space="preserve">Emergency use</t>
  </si>
  <si>
    <t xml:space="preserve">Urgent business need; expedited review</t>
  </si>
  <si>
    <t xml:space="preserve">CISO, 48-hour retroactive</t>
  </si>
  <si>
    <t xml:space="preserve">30 days</t>
  </si>
  <si>
    <t xml:space="preserve">Convert or close</t>
  </si>
  <si>
    <t xml:space="preserve">Model version</t>
  </si>
  <si>
    <t xml:space="preserve">A new model version deployed before the full evaluation suite passes</t>
  </si>
  <si>
    <t xml:space="preserve">Security and platform lead</t>
  </si>
  <si>
    <t xml:space="preserve">14 days</t>
  </si>
  <si>
    <t xml:space="preserve">Convert on evaluation pass</t>
  </si>
  <si>
    <t xml:space="preserve">Pilot (agentic or internal build)</t>
  </si>
  <si>
    <t xml:space="preserve">An agentic tool or an internal build running with a restricted cohort before full approval</t>
  </si>
  <si>
    <t xml:space="preserve">60 days</t>
  </si>
  <si>
    <t xml:space="preserve">Convert or decommission</t>
  </si>
  <si>
    <t xml:space="preserve">Approver of record</t>
  </si>
  <si>
    <t xml:space="preserve">2. Status legend</t>
  </si>
  <si>
    <t xml:space="preserve">Exception in effect; compensating controls monitored</t>
  </si>
  <si>
    <t xml:space="preserve">Renewal due</t>
  </si>
  <si>
    <t xml:space="preserve">Expires within 30 days; renewal required</t>
  </si>
  <si>
    <t xml:space="preserve">Expired</t>
  </si>
  <si>
    <t xml:space="preserve">Expired; the tool is decommissioned or re-approved</t>
  </si>
  <si>
    <t xml:space="preserve">Closed</t>
  </si>
  <si>
    <t xml:space="preserve">No longer needed: decommissioned, or converted to standard approval</t>
  </si>
  <si>
    <t xml:space="preserve">Rejected</t>
  </si>
  <si>
    <t xml:space="preserve">The approver denied the request</t>
  </si>
  <si>
    <t xml:space="preserve">3. Exception log</t>
  </si>
  <si>
    <t xml:space="preserve">Exception ID</t>
  </si>
  <si>
    <t xml:space="preserve">Guardrails affected</t>
  </si>
  <si>
    <t xml:space="preserve">Business justification</t>
  </si>
  <si>
    <t xml:space="preserve">Compensating controls</t>
  </si>
  <si>
    <t xml:space="preserve">Requester</t>
  </si>
  <si>
    <t xml:space="preserve">Approvers and vote</t>
  </si>
  <si>
    <t xml:space="preserve">Expires</t>
  </si>
  <si>
    <t xml:space="preserve">Audit notes</t>
  </si>
  <si>
    <t xml:space="preserve">Related incidents</t>
  </si>
  <si>
    <t xml:space="preserve">NHI-09 Autonomous action limits, NHI-08 Sub-agent spawn limits</t>
  </si>
  <si>
    <t xml:space="preserve">Pilot of an agentic platform for the operations team with a restricted cohort</t>
  </si>
  <si>
    <t xml:space="preserve">A person approves every external action; 24/7 monitoring; kill switch tested</t>
  </si>
  <si>
    <t xml:space="preserve">P. Lee</t>
  </si>
  <si>
    <t xml:space="preserve">CISO, committee 5-0, CTO</t>
  </si>
  <si>
    <t xml:space="preserve">Scheduled</t>
  </si>
  <si>
    <t xml:space="preserve">Weekly review; convert to standard on pass</t>
  </si>
  <si>
    <t xml:space="preserve">EXC-2026-002</t>
  </si>
  <si>
    <t xml:space="preserve">SUP-03 Model rollback procedure</t>
  </si>
  <si>
    <t xml:space="preserve">Model upgrade before the full evaluation suite passed; rollback ready</t>
  </si>
  <si>
    <t xml:space="preserve">Canary at 5 percent; hourly metrics; rollback runbook tested</t>
  </si>
  <si>
    <t xml:space="preserve">2026-03-24</t>
  </si>
  <si>
    <t xml:space="preserve">Converted</t>
  </si>
  <si>
    <t xml:space="preserve">Evaluation suite passed 2026-03-21</t>
  </si>
  <si>
    <t xml:space="preserve">EXC-2026-003</t>
  </si>
  <si>
    <t xml:space="preserve">Salesforce Agentforce</t>
  </si>
  <si>
    <t xml:space="preserve">NHI-07 Tool and function authorization</t>
  </si>
  <si>
    <t xml:space="preserve">Vendor feature arrived on by default; tool catalog allowlisting not available at the current plan</t>
  </si>
  <si>
    <t xml:space="preserve">Agent actions limited to drafts; weekly log review; upgrade quoted</t>
  </si>
  <si>
    <t xml:space="preserve">A. Williams</t>
  </si>
  <si>
    <t xml:space="preserve">Committee 4-1</t>
  </si>
  <si>
    <t xml:space="preserve">2026-08-25</t>
  </si>
  <si>
    <t xml:space="preserve">2027-02-25</t>
  </si>
  <si>
    <t xml:space="preserve">Pending</t>
  </si>
  <si>
    <t xml:space="preserve">Review when the plan upgrade lands</t>
  </si>
  <si>
    <t xml:space="preserve">EXC-2025-004</t>
  </si>
  <si>
    <t xml:space="preserve">Emergency chatbot</t>
  </si>
  <si>
    <t xml:space="preserve">RUN-01 Input validation, RUN-02 Output filtering</t>
  </si>
  <si>
    <t xml:space="preserve">Support surge after an outage; needed inside 24 hours</t>
  </si>
  <si>
    <t xml:space="preserve">Manual review of flagged conversations for the first 14 days</t>
  </si>
  <si>
    <t xml:space="preserve">K. Davis</t>
  </si>
  <si>
    <t xml:space="preserve">2025-11-01</t>
  </si>
  <si>
    <t xml:space="preserve">2025-12-01</t>
  </si>
  <si>
    <t xml:space="preserve">Converted to standard approval in November 2025</t>
  </si>
  <si>
    <t xml:space="preserve">4. Renewal process</t>
  </si>
  <si>
    <t xml:space="preserve">Action</t>
  </si>
  <si>
    <t xml:space="preserve">Owner</t>
  </si>
  <si>
    <t xml:space="preserve">Timeline</t>
  </si>
  <si>
    <t xml:space="preserve">1</t>
  </si>
  <si>
    <t xml:space="preserve">Submit the renewal with an updated justification</t>
  </si>
  <si>
    <t xml:space="preserve">Tool owner</t>
  </si>
  <si>
    <t xml:space="preserve">30 days before expiry</t>
  </si>
  <si>
    <t xml:space="preserve">2</t>
  </si>
  <si>
    <t xml:space="preserve">Verify the compensating controls still work</t>
  </si>
  <si>
    <t xml:space="preserve">Security analyst</t>
  </si>
  <si>
    <t xml:space="preserve">Within 5 days</t>
  </si>
  <si>
    <t xml:space="preserve">3</t>
  </si>
  <si>
    <t xml:space="preserve">Document any incident during the exception period</t>
  </si>
  <si>
    <t xml:space="preserve">With the renewal</t>
  </si>
  <si>
    <t xml:space="preserve">Approver or committee reviews and the vote is recorded</t>
  </si>
  <si>
    <t xml:space="preserve">Next scheduled meeting</t>
  </si>
  <si>
    <t xml:space="preserve">5</t>
  </si>
  <si>
    <t xml:space="preserve">Update the exception record with the new dates</t>
  </si>
  <si>
    <t xml:space="preserve">Security admin</t>
  </si>
  <si>
    <t xml:space="preserve">Within 2 days of the decision</t>
  </si>
  <si>
    <t xml:space="preserve">6</t>
  </si>
  <si>
    <t xml:space="preserve">Tell the requester and the business owner the outcome</t>
  </si>
  <si>
    <t xml:space="preserve">Same day</t>
  </si>
  <si>
    <t xml:space="preserve">5. Where else this shows up</t>
  </si>
  <si>
    <t xml:space="preserve">Org Profile section 2</t>
  </si>
  <si>
    <t xml:space="preserve">Who approves exceptions, who accepts risk, and the review cadence per level</t>
  </si>
  <si>
    <t xml:space="preserve">Tool Registry</t>
  </si>
  <si>
    <t xml:space="preserve">The Exception # and Record ID columns link the tool to its exception</t>
  </si>
  <si>
    <t xml:space="preserve">Guardrail Checklist</t>
  </si>
  <si>
    <t xml:space="preserve">Which guardrail is being bypassed, by ID</t>
  </si>
  <si>
    <t xml:space="preserve">The assessment record</t>
  </si>
  <si>
    <t xml:space="preserve">An exception is proposed in section 8 and routed to the approver of record; it is logged here once granted</t>
  </si>
  <si>
    <t xml:space="preserve">AI Security Risk Workbook: AI Security Tool Landscape</t>
  </si>
  <si>
    <t xml:space="preserve">A showcase of the market, not a shortlist. About 100 vendors mapped to the seven families as primary, secondary and tertiary coverage, so you can see overlap and avoid paying twice for the same thing. In your own records the skill names the tools you already own (Org Profile section 3) and points here only for a family with no coverage. Statuses and acquisitions checked against public M&amp;A reporting through September 2026. Vendor positioning changes monthly; confirm before buying. Vendor and product names identify products and do not imply endorsement of, or affiliation with, any vendor.</t>
  </si>
  <si>
    <t xml:space="preserve">Your tools for each family come from Org Profile section 3. Change them there.</t>
  </si>
  <si>
    <t xml:space="preserve">Guardrails</t>
  </si>
  <si>
    <t xml:space="preserve">Your tools</t>
  </si>
  <si>
    <t xml:space="preserve">8 (POS)</t>
  </si>
  <si>
    <t xml:space="preserve">9 (RUN)</t>
  </si>
  <si>
    <t xml:space="preserve">5 (SHA)</t>
  </si>
  <si>
    <t xml:space="preserve">8 (OBS)</t>
  </si>
  <si>
    <t xml:space="preserve">10 (DAT)</t>
  </si>
  <si>
    <t xml:space="preserve">12 (NHI)</t>
  </si>
  <si>
    <t xml:space="preserve">13 (SUP)</t>
  </si>
  <si>
    <t xml:space="preserve">2. What changed in 2026</t>
  </si>
  <si>
    <t xml:space="preserve">Consolidation kept its pace. Palo Alto Networks closed CyberArk ($25B, February) and added Koi and Portkey to Prisma AIRS. Google closed Wiz ($32B, March). Cisco bought Astrix, Galileo and WideField. Cyera bought Oasis Security (about $1B, July) and became the one vendor that owns both DSPM and agent identity. SailPoint took Entro, Okta took Permiso, 1Password took Apono, Delinea took StrongDM, CrowdStrike took SGNL: every identity platform now has an agent story. Akamai bought LayerX, Proofpoint bought Acuvity, Zscaler bought Symmetry, Varonis bought AllTrue.ai, Fortinet bought Virtue AI, A10 bought TrojAI, Check Point added Cyata and Deepchecks, F5 added SurePath, OpenAI took Promptfoo and Harvey took Guardrails AI. The independents that raised: HiddenLayer ($100M, September), WitnessAI ($58M, January), Harmonic ($50M), Cyera ($400M at $9B). MCP security arrived as a category of its own (Runlayer, Helmet, Operant, plus gateway features from Cloudflare and Microsoft). Before buying a point tool, check whether a platform you already pay for now includes the capability.</t>
  </si>
  <si>
    <t xml:space="preserve">3. Vendor landscape</t>
  </si>
  <si>
    <t xml:space="preserve">table:vendors</t>
  </si>
  <si>
    <t xml:space="preserve">Vendor (product)</t>
  </si>
  <si>
    <t xml:space="preserve">Deployment</t>
  </si>
  <si>
    <t xml:space="preserve">Pricing tier</t>
  </si>
  <si>
    <t xml:space="preserve">Primary family</t>
  </si>
  <si>
    <t xml:space="preserve">Secondary family</t>
  </si>
  <si>
    <t xml:space="preserve">Tertiary family</t>
  </si>
  <si>
    <t xml:space="preserve">Summary</t>
  </si>
  <si>
    <t xml:space="preserve">Best for</t>
  </si>
  <si>
    <t xml:space="preserve">vendors</t>
  </si>
  <si>
    <t xml:space="preserve">Palo Alto Networks (Prisma AIRS, Protect AI, Portkey, Koi)</t>
  </si>
  <si>
    <t xml:space="preserve">Enterprise</t>
  </si>
  <si>
    <t xml:space="preserve">Prisma AIRS bundles Protect AI (model scanning, supply chain, red teaming), Portkey (AI gateway, agreed April 2026, roughly $120M to $140M) and Koi (agentic endpoint security, February 2026, about $400M) with CyberArk identity (closed February 2026, $25B). The widest single-vendor AI security stack today.</t>
  </si>
  <si>
    <t xml:space="preserve">Palo Alto customers wanting one platform across runtime, supply chain and identity</t>
  </si>
  <si>
    <t xml:space="preserve">Cisco (AI Defense, Robust Intelligence, Astrix, Galileo, WideField)</t>
  </si>
  <si>
    <t xml:space="preserve">Cisco AI Defense grew out of Robust Intelligence (2024) and added Astrix non-human identity (May 2026, about $400M), Galileo evaluation and observability (April 2026) and WideField identity threat detection (June 2026). Agent identity and observability land in Splunk and Duo.</t>
  </si>
  <si>
    <t xml:space="preserve">Cisco and Splunk shops; agent identity and evaluation under one roof</t>
  </si>
  <si>
    <t xml:space="preserve">Microsoft (Defender for Cloud, Purview, Entra Agent ID, Agent 365)</t>
  </si>
  <si>
    <t xml:space="preserve">Included in platform</t>
  </si>
  <si>
    <t xml:space="preserve">AI-SPM in Defender for Cloud, DLP for Copilot and GenAI apps in Purview, agent identities in Entra Agent ID, and Agent 365 as the control plane and MCP gateway for agents in M365. The default answer for an M365 tenant before buying point tools.</t>
  </si>
  <si>
    <t xml:space="preserve">Azure and M365 shops; Copilot governance</t>
  </si>
  <si>
    <t xml:space="preserve">Google Cloud (Wiz, Wiz Code, Model Armor, Vertex AI safety)</t>
  </si>
  <si>
    <t xml:space="preserve">Google closed the $32B Wiz acquisition on March 11, 2026. Wiz keeps multicloud AI-SPM and attack-path analysis, Wiz Code covers code-side AI risk, Model Armor screens prompts and responses, and Vertex AI carries the safety filters.</t>
  </si>
  <si>
    <t xml:space="preserve">Wiz customers; GCP and Vertex AI workloads</t>
  </si>
  <si>
    <t xml:space="preserve">AWS (Bedrock Guardrails, Bedrock AgentCore)</t>
  </si>
  <si>
    <t xml:space="preserve">Bedrock Guardrails screens prompts and outputs with Automated Reasoning checks. AgentCore gives agents a managed runtime with identity, tool authorization, memory isolation and observability.</t>
  </si>
  <si>
    <t xml:space="preserve">AWS-native agent and model deployments</t>
  </si>
  <si>
    <t xml:space="preserve">CrowdStrike (Pangea, SGNL, Seraphic)</t>
  </si>
  <si>
    <t xml:space="preserve">Pangea (2025, about $260M) became AI Detection and Response in Falcon. SGNL (January 2026, $740M) adds continuous authorization for humans, machines and agents. Seraphic (January 2026, about $420M) adds in-session browser protection for AI interactions.</t>
  </si>
  <si>
    <t xml:space="preserve">CrowdStrike customers; endpoint-centric programs adding agent authorization</t>
  </si>
  <si>
    <t xml:space="preserve">Check Point (Lakera, Cyata, Deepchecks)</t>
  </si>
  <si>
    <t xml:space="preserve">Lakera (closed late 2025, about $300M) is the runtime guardrail layer in Infinity. Cyata (February 2026) and Deepchecks (May 2026, LLM evaluation) extend it toward agent security and continuous evaluation.</t>
  </si>
  <si>
    <t xml:space="preserve">Check Point customers; prompt injection, data leakage and MCP or RAG flow protection</t>
  </si>
  <si>
    <t xml:space="preserve">SentinelOne (Prompt Security, Observo)</t>
  </si>
  <si>
    <t xml:space="preserve">Prompt Security (September 2025, $133.6M) covers employee GenAI visibility, browser-level controls and prompt protection. Observo (about $225M) handles the telemetry pipeline. Purple AI ties them together.</t>
  </si>
  <si>
    <t xml:space="preserve">SentinelOne customers; employee GenAI usage governance</t>
  </si>
  <si>
    <t xml:space="preserve">Zscaler (Symmetry Systems)</t>
  </si>
  <si>
    <t xml:space="preserve">Public</t>
  </si>
  <si>
    <t xml:space="preserve">Zero trust exchange with GenAI app control, shadow AI discovery and data protection. Symmetry Systems (May 2026) adds access mapping of what data AI agents can reach and least-privilege data policy.</t>
  </si>
  <si>
    <t xml:space="preserve">Zscaler customers; SASE-delivered AI data controls</t>
  </si>
  <si>
    <t xml:space="preserve">Netskope</t>
  </si>
  <si>
    <t xml:space="preserve">SASE with GenAI-aware DLP, real-time user coaching and app risk scoring for AI services. Public since September 2025.</t>
  </si>
  <si>
    <t xml:space="preserve">Netskope customers; coaching users at the point of use</t>
  </si>
  <si>
    <t xml:space="preserve">Proofpoint (Acuvity, Normalyze)</t>
  </si>
  <si>
    <t xml:space="preserve">Acuvity (February 2026) brings real-time visibility and control over how employees and systems use AI apps. Normalyze (2024) brings DSPM. Together they cover discovery, data flows into AI and policy enforcement.</t>
  </si>
  <si>
    <t xml:space="preserve">Proofpoint customers; human-centric AI usage controls</t>
  </si>
  <si>
    <t xml:space="preserve">Akamai (LayerX)</t>
  </si>
  <si>
    <t xml:space="preserve">LayerX (May 2026, about $205M) gives real-time visibility and control over user and agent activity across browsers, apps and IDEs, delivered without a separate enterprise browser.</t>
  </si>
  <si>
    <t xml:space="preserve">Akamai customers; browser-layer control of AI use</t>
  </si>
  <si>
    <t xml:space="preserve">F5 (CalypsoAI, SurePath AI)</t>
  </si>
  <si>
    <t xml:space="preserve">CalypsoAI (closed January 2026, $180M) runs inference protection and red teaming inside F5 AI Gateway. SurePath AI (June 2026) adds network-based shadow AI discovery.</t>
  </si>
  <si>
    <t xml:space="preserve">F5 customers; API and gateway-level AI protection</t>
  </si>
  <si>
    <t xml:space="preserve">Fortinet (Virtue AI)</t>
  </si>
  <si>
    <t xml:space="preserve">Virtue AI (August 2026) adds agentic red teaming, agent protection and governance, continuous AI validation and real-time guardrails to the Fortinet fabric.</t>
  </si>
  <si>
    <t xml:space="preserve">Fortinet customers</t>
  </si>
  <si>
    <t xml:space="preserve">Cato Networks (AIM Security)</t>
  </si>
  <si>
    <t xml:space="preserve">AIM Security (September 2025) was Cato's first acquisition. AI-SPM and agent security delivered through the Cato SASE cloud.</t>
  </si>
  <si>
    <t xml:space="preserve">Cato SASE customers</t>
  </si>
  <si>
    <t xml:space="preserve">Varonis (AllTrue.ai)</t>
  </si>
  <si>
    <t xml:space="preserve">AllTrue.ai (February 2026, $150M) adds AI trust, risk and security management: monitoring and controlling AI behavior and supporting compliance, on top of Varonis data security.</t>
  </si>
  <si>
    <t xml:space="preserve">Varonis customers; data-first AI governance</t>
  </si>
  <si>
    <t xml:space="preserve">ServiceNow (AI Control Tower, Veza, Armis)</t>
  </si>
  <si>
    <t xml:space="preserve">AI Control Tower governs Now Assist and third-party agents with usage tracking and compliance workflows. Veza (about $1B) brings access intelligence, Armis ($7.75B) brings asset visibility.</t>
  </si>
  <si>
    <t xml:space="preserve">ServiceNow customers; GRC-centric AI governance</t>
  </si>
  <si>
    <t xml:space="preserve">Okta (Permiso, Cross App Access)</t>
  </si>
  <si>
    <t xml:space="preserve">Cross App Access standardizes how agents and apps get delegated access. Permiso (July 2026, about $200M) adds identity threat detection across human, machine and agent identities.</t>
  </si>
  <si>
    <t xml:space="preserve">Okta customers; agent delegation and ITDR</t>
  </si>
  <si>
    <t xml:space="preserve">SailPoint (Entro, Agentic Fabric)</t>
  </si>
  <si>
    <t xml:space="preserve">Entro (June 2026, about $200M) brings non-human identity and secrets discovery into SailPoint's Agentic Fabric for governing agents and machine identities.</t>
  </si>
  <si>
    <t xml:space="preserve">SailPoint customers; identity governance extended to agents</t>
  </si>
  <si>
    <t xml:space="preserve">Delinea (StrongDM)</t>
  </si>
  <si>
    <t xml:space="preserve">Both</t>
  </si>
  <si>
    <t xml:space="preserve">StrongDM (January 2026) adds just-in-time runtime authorization and universal access management, covering non-human identities and agents across hybrid and cloud.</t>
  </si>
  <si>
    <t xml:space="preserve">Delinea customers; PAM for agents</t>
  </si>
  <si>
    <t xml:space="preserve">1Password (Apono)</t>
  </si>
  <si>
    <t xml:space="preserve">SaaS</t>
  </si>
  <si>
    <t xml:space="preserve">Team + Enterprise</t>
  </si>
  <si>
    <t xml:space="preserve">Apono (June 2026, roughly $250M to $300M) adds just-in-time access governance for humans, machines and AI agents to 1Password's extended access management.</t>
  </si>
  <si>
    <t xml:space="preserve">Mid-market teams governing agent access without a full PAM</t>
  </si>
  <si>
    <t xml:space="preserve">Cloudflare (AI Gateway, Firewall for AI, MCP support)</t>
  </si>
  <si>
    <t xml:space="preserve">Free + Enterprise</t>
  </si>
  <si>
    <t xml:space="preserve">AI Gateway gives caching, rate limits, logging and cost controls in front of any model. Firewall for AI screens prompts. MCP hosting and gateway features cover remote MCP servers.</t>
  </si>
  <si>
    <t xml:space="preserve">Teams fronting many models and MCP servers through one edge</t>
  </si>
  <si>
    <t xml:space="preserve">NVIDIA NeMo Guardrails</t>
  </si>
  <si>
    <t xml:space="preserve">Programmable guardrails and inference microservices for LLM apps.</t>
  </si>
  <si>
    <t xml:space="preserve">NVIDIA ecosystem and self-hosted inference</t>
  </si>
  <si>
    <t xml:space="preserve">Anthropic built-in safety</t>
  </si>
  <si>
    <t xml:space="preserve">Provider-side safeguards in the Claude API and Claude apps: classifiers, content safety, agent skill sandboxing, enterprise data controls.</t>
  </si>
  <si>
    <t xml:space="preserve">Teams running Claude as the primary model</t>
  </si>
  <si>
    <t xml:space="preserve">OpenAI Moderation API and enterprise controls</t>
  </si>
  <si>
    <t xml:space="preserve">Free / included</t>
  </si>
  <si>
    <t xml:space="preserve">Hosted content moderation usable with any model, plus enterprise data controls. Promptfoo (March 2026) brought adversarial testing into the Frontier platform.</t>
  </si>
  <si>
    <t xml:space="preserve">Teams wanting a free moderation layer or running on OpenAI</t>
  </si>
  <si>
    <t xml:space="preserve">Azure AI Content Safety</t>
  </si>
  <si>
    <t xml:space="preserve">Microsoft-hosted content safety with Prompt Shields, groundedness detection and protected-material detection.</t>
  </si>
  <si>
    <t xml:space="preserve">Azure OpenAI and Copilot ecosystem</t>
  </si>
  <si>
    <t xml:space="preserve">Datadog LLM Observability</t>
  </si>
  <si>
    <t xml:space="preserve">LLM monitoring with prompt injection detection, PII scanning, cost tracking and traces in the existing Datadog tenant.</t>
  </si>
  <si>
    <t xml:space="preserve">Datadog customers</t>
  </si>
  <si>
    <t xml:space="preserve">Sysdig</t>
  </si>
  <si>
    <t xml:space="preserve">Runtime observability for AI workloads: container-level visibility into model-serving infrastructure and agent runtimes.</t>
  </si>
  <si>
    <t xml:space="preserve">Kubernetes shops running their own inference</t>
  </si>
  <si>
    <t xml:space="preserve">JFrog</t>
  </si>
  <si>
    <t xml:space="preserve">Universal artifact repository with ML model management, SBOM and DevSecOps controls.</t>
  </si>
  <si>
    <t xml:space="preserve">JFrog customers; artifact management for models</t>
  </si>
  <si>
    <t xml:space="preserve">Noma Security</t>
  </si>
  <si>
    <t xml:space="preserve">Independent</t>
  </si>
  <si>
    <t xml:space="preserve">Full AI lifecycle security with a strong agentic focus: discovery, supply chain, runtime and agent governance. $100M Series B in July 2025, $132M raised.</t>
  </si>
  <si>
    <t xml:space="preserve">Comprehensive AI security; agentic deployments</t>
  </si>
  <si>
    <t xml:space="preserve">HiddenLayer</t>
  </si>
  <si>
    <t xml:space="preserve">Model scanning across about 50 file formats, supply chain security, attack simulation and runtime protection extended to prompt injection, agent manipulation and malicious tool use. $100M Series B in September 2026.</t>
  </si>
  <si>
    <t xml:space="preserve">Open-weight model consumers; independent vendor preference</t>
  </si>
  <si>
    <t xml:space="preserve">Zenity</t>
  </si>
  <si>
    <t xml:space="preserve">Agent-centric posture management with a low-code and Copilot Studio specialty. More than $100M raised.</t>
  </si>
  <si>
    <t xml:space="preserve">Organizations deploying agents at scale on M365 and low-code platforms</t>
  </si>
  <si>
    <t xml:space="preserve">WitnessAI</t>
  </si>
  <si>
    <t xml:space="preserve">Discovers AI usage, enforces policy and coaches users on safe practice. $58M Series B in January 2026, $85.5M raised.</t>
  </si>
  <si>
    <t xml:space="preserve">Safe AI enablement with visibility and coaching</t>
  </si>
  <si>
    <t xml:space="preserve">Credo AI</t>
  </si>
  <si>
    <t xml:space="preserve">AI governance platform: policies, risk assessments, model inventory and supply chain tracking.</t>
  </si>
  <si>
    <t xml:space="preserve">AI governance and vendor risk management teams</t>
  </si>
  <si>
    <t xml:space="preserve">Holistic AI</t>
  </si>
  <si>
    <t xml:space="preserve">End-to-end AI risk management: live inventory, EU AI Act alignment, bias auditing.</t>
  </si>
  <si>
    <t xml:space="preserve">EU AI Act compliance programs</t>
  </si>
  <si>
    <t xml:space="preserve">Cranium AI (Aiceberg)</t>
  </si>
  <si>
    <t xml:space="preserve">AI security governance and agentic AI platform. Acquired Aiceberg in May 2026.</t>
  </si>
  <si>
    <t xml:space="preserve">Governance-led programs</t>
  </si>
  <si>
    <t xml:space="preserve">Pillar Security</t>
  </si>
  <si>
    <t xml:space="preserve">End-to-end GenAI security: discovery, risk assessment, runtime protection, evaluation.</t>
  </si>
  <si>
    <t xml:space="preserve">Organizations wanting one consolidated GenAI security vendor</t>
  </si>
  <si>
    <t xml:space="preserve">Apex Security</t>
  </si>
  <si>
    <t xml:space="preserve">GenAI security platform: discovery, policy enforcement and risk scoring per AI app.</t>
  </si>
  <si>
    <t xml:space="preserve">Mid-market shadow AI and DLP consolidation</t>
  </si>
  <si>
    <t xml:space="preserve">Legit Security</t>
  </si>
  <si>
    <t xml:space="preserve">ASPM with AI code security, model supply chain and SDLC controls for ML.</t>
  </si>
  <si>
    <t xml:space="preserve">DevSecOps teams; AI in the software supply chain</t>
  </si>
  <si>
    <t xml:space="preserve">Cycode</t>
  </si>
  <si>
    <t xml:space="preserve">ASPM with AI-native code security, pipeline security and secrets detection.</t>
  </si>
  <si>
    <t xml:space="preserve">ASPM-first organizations</t>
  </si>
  <si>
    <t xml:space="preserve">Arthur AI</t>
  </si>
  <si>
    <t xml:space="preserve">LLM firewall and observability with a federated architecture that keeps data local.</t>
  </si>
  <si>
    <t xml:space="preserve">Regulated industries; data residency requirements</t>
  </si>
  <si>
    <t xml:space="preserve">Mindgard</t>
  </si>
  <si>
    <t xml:space="preserve">Offensive AI security: automated red teaming, vulnerability scanning and supply chain testing.</t>
  </si>
  <si>
    <t xml:space="preserve">Continuous AI security testing</t>
  </si>
  <si>
    <t xml:space="preserve">Prompt Armor</t>
  </si>
  <si>
    <t xml:space="preserve">Prompt injection firewall with real-time threat detection for LLM apps.</t>
  </si>
  <si>
    <t xml:space="preserve">Dedicated prompt security; API-first deployment</t>
  </si>
  <si>
    <t xml:space="preserve">Straiker (Defend AI)</t>
  </si>
  <si>
    <t xml:space="preserve">Agentic AI runtime security: context-aware guardrails across prompts, reasoning and tool calls.</t>
  </si>
  <si>
    <t xml:space="preserve">Production agentic AI</t>
  </si>
  <si>
    <t xml:space="preserve">Tumeryk</t>
  </si>
  <si>
    <t xml:space="preserve">Runtime guardrails plus agent-specific behavior monitoring. Early stage, purpose-built for agents.</t>
  </si>
  <si>
    <t xml:space="preserve">Organizations deploying production agents</t>
  </si>
  <si>
    <t xml:space="preserve">Lasso Security</t>
  </si>
  <si>
    <t xml:space="preserve">LLM and agent security: visibility of GenAI use, prompt and response protection, policy enforcement.</t>
  </si>
  <si>
    <t xml:space="preserve">GenAI usage security for the workforce and apps</t>
  </si>
  <si>
    <t xml:space="preserve">Dynamo AI</t>
  </si>
  <si>
    <t xml:space="preserve">Compliance-focused GenAI: PII redaction, policy enforcement and regulated-industry tooling.</t>
  </si>
  <si>
    <t xml:space="preserve">Finance and healthcare</t>
  </si>
  <si>
    <t xml:space="preserve">Hex Security</t>
  </si>
  <si>
    <t xml:space="preserve">AI agents running continuous penetration tests for vulnerability discovery.</t>
  </si>
  <si>
    <t xml:space="preserve">Continuous security testing</t>
  </si>
  <si>
    <t xml:space="preserve">LLM Guard (Protect AI, open source)</t>
  </si>
  <si>
    <t xml:space="preserve">Open source</t>
  </si>
  <si>
    <t xml:space="preserve">OSS</t>
  </si>
  <si>
    <t xml:space="preserve">Free / OSS</t>
  </si>
  <si>
    <t xml:space="preserve">Open source input and output scanner: PII, toxicity, prompt injection. Maintained under Palo Alto Networks since the Protect AI acquisition.</t>
  </si>
  <si>
    <t xml:space="preserve">OSS-first teams building their own guardrail layer</t>
  </si>
  <si>
    <t xml:space="preserve">Guardrails AI (Harvey)</t>
  </si>
  <si>
    <t xml:space="preserve">Acquired (Harvey, September 2026)</t>
  </si>
  <si>
    <t xml:space="preserve">Open source validators for prompt injection, PII, toxicity and structured output. Harvey acquired the team in September 2026 and is sunsetting the hub; pin validator versions if you depend on it.</t>
  </si>
  <si>
    <t xml:space="preserve">Existing users; plan a migration</t>
  </si>
  <si>
    <t xml:space="preserve">Promptfoo (OpenAI)</t>
  </si>
  <si>
    <t xml:space="preserve">Acquired (OpenAI, March 2026)</t>
  </si>
  <si>
    <t xml:space="preserve">Open source LLM and agent testing with simulated adversarial attacks, now part of OpenAI's Frontier platform. The OSS project remains the common red-team harness.</t>
  </si>
  <si>
    <t xml:space="preserve">Teams scripting red-team and eval runs in CI</t>
  </si>
  <si>
    <t xml:space="preserve">Harmonic Security</t>
  </si>
  <si>
    <t xml:space="preserve">Shadow AI discovery with GenAI-aware DLP and workforce AI protection. Raised $50M in 2026.</t>
  </si>
  <si>
    <t xml:space="preserve">DLP tuned for how people use GenAI</t>
  </si>
  <si>
    <t xml:space="preserve">Nightfall AI</t>
  </si>
  <si>
    <t xml:space="preserve">AI-native DLP plus a GenAI firewall.</t>
  </si>
  <si>
    <t xml:space="preserve">Cloud-native DLP for AI apps</t>
  </si>
  <si>
    <t xml:space="preserve">Reco</t>
  </si>
  <si>
    <t xml:space="preserve">SaaS security with AI discovery: finds AI apps, tracks data flows, enforces policy.</t>
  </si>
  <si>
    <t xml:space="preserve">SaaS security teams extending to AI</t>
  </si>
  <si>
    <t xml:space="preserve">Island (enterprise browser)</t>
  </si>
  <si>
    <t xml:space="preserve">Enterprise browser with AI controls: DLP, session recording, app isolation.</t>
  </si>
  <si>
    <t xml:space="preserve">Browser-based control of AI use</t>
  </si>
  <si>
    <t xml:space="preserve">Cyera (Oasis Security, Ryft, Genie)</t>
  </si>
  <si>
    <t xml:space="preserve">DSPM leader that bought Oasis non-human identity (July 2026, about $1B), Ryft agent data lake security (April 2026) and Genie endpoint data protection for GenAI (May 2026). $400M Series F in January 2026 at a $9B valuation.</t>
  </si>
  <si>
    <t xml:space="preserve">Enterprise DSPM; data plus agent identity in one vendor</t>
  </si>
  <si>
    <t xml:space="preserve">BigID</t>
  </si>
  <si>
    <t xml:space="preserve">Data discovery and governance with shadow AI detection and AI model inventory.</t>
  </si>
  <si>
    <t xml:space="preserve">Data discovery and governance for AI</t>
  </si>
  <si>
    <t xml:space="preserve">Knostic</t>
  </si>
  <si>
    <t xml:space="preserve">Need-to-know access for AI: context-aware data protection and RAG security.</t>
  </si>
  <si>
    <t xml:space="preserve">RAG and enterprise search deployments</t>
  </si>
  <si>
    <t xml:space="preserve">Protecto</t>
  </si>
  <si>
    <t xml:space="preserve">Privacy layer for AI: PII detection, tokenization and masking for prompts, RAG and fine-tuning data.</t>
  </si>
  <si>
    <t xml:space="preserve">Privacy-preserving data flows into AI</t>
  </si>
  <si>
    <t xml:space="preserve">TrustLogix</t>
  </si>
  <si>
    <t xml:space="preserve">Data access governance for AI: who and what can reach which data, enforced across platforms.</t>
  </si>
  <si>
    <t xml:space="preserve">Data access governance ahead of AI rollouts</t>
  </si>
  <si>
    <t xml:space="preserve">GitGuardian</t>
  </si>
  <si>
    <t xml:space="preserve">Secrets detection extended to LLM context: secrets in prompts, agent memory and RAG corpora.</t>
  </si>
  <si>
    <t xml:space="preserve">Teams worried about secrets leaking into context windows</t>
  </si>
  <si>
    <t xml:space="preserve">Kiteworks (Bonfy.AI)</t>
  </si>
  <si>
    <t xml:space="preserve">Bonfy.AI (September 2026) adds real-time policy enforcement over sensitive data exchanged by people and agents.</t>
  </si>
  <si>
    <t xml:space="preserve">Kiteworks customers</t>
  </si>
  <si>
    <t xml:space="preserve">Arize AI</t>
  </si>
  <si>
    <t xml:space="preserve">Enterprise AI observability: Phoenix open source plus the AX platform.</t>
  </si>
  <si>
    <t xml:space="preserve">Production ML and LLM monitoring</t>
  </si>
  <si>
    <t xml:space="preserve">Patronus AI</t>
  </si>
  <si>
    <t xml:space="preserve">LLM evaluation: hallucination detection and automated testing.</t>
  </si>
  <si>
    <t xml:space="preserve">LLM quality assurance</t>
  </si>
  <si>
    <t xml:space="preserve">Fiddler AI</t>
  </si>
  <si>
    <t xml:space="preserve">Model scoring, guardrails and explainability for LLMs.</t>
  </si>
  <si>
    <t xml:space="preserve">Regulated industries needing explainability</t>
  </si>
  <si>
    <t xml:space="preserve">LangSmith (LangChain)</t>
  </si>
  <si>
    <t xml:space="preserve">LLM app debugging and monitoring: traces, evaluations, prompt management.</t>
  </si>
  <si>
    <t xml:space="preserve">LangChain and LangGraph users</t>
  </si>
  <si>
    <t xml:space="preserve">Weights &amp; Biases (CoreWeave)</t>
  </si>
  <si>
    <t xml:space="preserve">Acquired (CoreWeave, 2025)</t>
  </si>
  <si>
    <t xml:space="preserve">MLOps platform: experiment tracking, model registry, LLM tracing.</t>
  </si>
  <si>
    <t xml:space="preserve">ML teams; experiment tracking</t>
  </si>
  <si>
    <t xml:space="preserve">Galileo (Cisco)</t>
  </si>
  <si>
    <t xml:space="preserve">Acquired (Cisco, April 2026)</t>
  </si>
  <si>
    <t xml:space="preserve">LLM and agent evaluation: hallucination, data quality, guardrails. Now part of Cisco's AI observability push with Splunk.</t>
  </si>
  <si>
    <t xml:space="preserve">Cisco customers; LLM debugging</t>
  </si>
  <si>
    <t xml:space="preserve">Portkey (Palo Alto Networks)</t>
  </si>
  <si>
    <t xml:space="preserve">Acquired (Palo Alto Networks, April 2026)</t>
  </si>
  <si>
    <t xml:space="preserve">AI gateway and observability: unified API, caching, fallbacks, cost management, agent control plane. Folding into Prisma AIRS.</t>
  </si>
  <si>
    <t xml:space="preserve">Multi-LLM deployments; gateway control of agents</t>
  </si>
  <si>
    <t xml:space="preserve">Helicone</t>
  </si>
  <si>
    <t xml:space="preserve">Free / Team</t>
  </si>
  <si>
    <t xml:space="preserve">Open source LLM observability: logging, caching, rate limiting.</t>
  </si>
  <si>
    <t xml:space="preserve">OSS-first LLM monitoring on a budget</t>
  </si>
  <si>
    <t xml:space="preserve">Langfuse</t>
  </si>
  <si>
    <t xml:space="preserve">Free + Team</t>
  </si>
  <si>
    <t xml:space="preserve">Open source LLM observability: tracing, prompt management, evaluation.</t>
  </si>
  <si>
    <t xml:space="preserve">OSS-first teams</t>
  </si>
  <si>
    <t xml:space="preserve">Comet Opik</t>
  </si>
  <si>
    <t xml:space="preserve">LLM evaluation and monitoring: quality, performance drift.</t>
  </si>
  <si>
    <t xml:space="preserve">ML teams; quality assurance</t>
  </si>
  <si>
    <t xml:space="preserve">Braintrust</t>
  </si>
  <si>
    <t xml:space="preserve">Production traces to evaluation cases, with results on pull requests.</t>
  </si>
  <si>
    <t xml:space="preserve">LLM app teams iterating on quality</t>
  </si>
  <si>
    <t xml:space="preserve">Maxim AI</t>
  </si>
  <si>
    <t xml:space="preserve">Agent lifecycle platform: experimentation, simulation, evaluation, observability.</t>
  </si>
  <si>
    <t xml:space="preserve">Agent development teams</t>
  </si>
  <si>
    <t xml:space="preserve">Deepchecks (Check Point)</t>
  </si>
  <si>
    <t xml:space="preserve">Acquired (Check Point, May 2026)</t>
  </si>
  <si>
    <t xml:space="preserve">Continuous monitoring and LLM evaluation, now used to validate Check Point's agentic security tools.</t>
  </si>
  <si>
    <t xml:space="preserve">Check Point customers; evaluation</t>
  </si>
  <si>
    <t xml:space="preserve">Radiant Security (Cribl)</t>
  </si>
  <si>
    <t xml:space="preserve">Acquired (Cribl, August 2026)</t>
  </si>
  <si>
    <t xml:space="preserve">AI-native SOC with autonomous triage and response. Adjacent: AI for security operations rather than security for AI.</t>
  </si>
  <si>
    <t xml:space="preserve">SOC teams reducing alert fatigue</t>
  </si>
  <si>
    <t xml:space="preserve">Prophet Security</t>
  </si>
  <si>
    <t xml:space="preserve">Agentic SOC: autonomous investigation and response. Adjacent category.</t>
  </si>
  <si>
    <t xml:space="preserve">SOC teams; autonomous investigation</t>
  </si>
  <si>
    <t xml:space="preserve">Simbian</t>
  </si>
  <si>
    <t xml:space="preserve">Autonomous agents for security operations. Adjacent category.</t>
  </si>
  <si>
    <t xml:space="preserve">Silverfort (Fabrix)</t>
  </si>
  <si>
    <t xml:space="preserve">Unified human and non-human identity security with NHI visibility. Fabrix (April 2026) adds an AI decisioning engine across human, machine and agentic identities.</t>
  </si>
  <si>
    <t xml:space="preserve">Enterprise IAM extending to NHI and agents</t>
  </si>
  <si>
    <t xml:space="preserve">Astrix Security (Cisco)</t>
  </si>
  <si>
    <t xml:space="preserve">Acquired (Cisco, May 2026)</t>
  </si>
  <si>
    <t xml:space="preserve">Dedicated NHI platform: agent inventory, least privilege, token monitoring. Folding into Cisco Identity Intelligence, Duo and Splunk.</t>
  </si>
  <si>
    <t xml:space="preserve">NHI-first programs on Cisco</t>
  </si>
  <si>
    <t xml:space="preserve">Oasis Security (Cyera)</t>
  </si>
  <si>
    <t xml:space="preserve">Acquired (Cyera, July 2026)</t>
  </si>
  <si>
    <t xml:space="preserve">NHI Security Cloud with Agentic Access Management and intent-based access control, now the identity half of Cyera.</t>
  </si>
  <si>
    <t xml:space="preserve">Agentic access control alongside DSPM</t>
  </si>
  <si>
    <t xml:space="preserve">Aembit</t>
  </si>
  <si>
    <t xml:space="preserve">Secretless workload IAM: workload-to-workload and agent identity without long-lived credentials.</t>
  </si>
  <si>
    <t xml:space="preserve">Secretless architecture for agents and services</t>
  </si>
  <si>
    <t xml:space="preserve">Entro Security (SailPoint)</t>
  </si>
  <si>
    <t xml:space="preserve">Acquired (SailPoint, June 2026)</t>
  </si>
  <si>
    <t xml:space="preserve">Secrets and non-human identity discovery, including exposed AI API keys, now inside SailPoint's Agentic Fabric.</t>
  </si>
  <si>
    <t xml:space="preserve">Secrets sprawl; credential exposure</t>
  </si>
  <si>
    <t xml:space="preserve">Acquired (Palo Alto Networks, February 2026)</t>
  </si>
  <si>
    <t xml:space="preserve">PAM and machine identity security, now part of Palo Alto Networks. The platform stays standalone while capabilities integrate into Prisma and Cortex.</t>
  </si>
  <si>
    <t xml:space="preserve">Enterprise PAM; machine and agent identities</t>
  </si>
  <si>
    <t xml:space="preserve">HashiCorp Vault (IBM)</t>
  </si>
  <si>
    <t xml:space="preserve">Acquired (IBM, 2025)</t>
  </si>
  <si>
    <t xml:space="preserve">Secrets management: dynamic secrets, encryption, identity-based access.</t>
  </si>
  <si>
    <t xml:space="preserve">Secrets management; dynamic credentials for agents</t>
  </si>
  <si>
    <t xml:space="preserve">Spec</t>
  </si>
  <si>
    <t xml:space="preserve">Agentic security platform: agent identity, behavior monitoring, response.</t>
  </si>
  <si>
    <t xml:space="preserve">Organizations with production agents</t>
  </si>
  <si>
    <t xml:space="preserve">Strata Identity (Rubrik)</t>
  </si>
  <si>
    <t xml:space="preserve">Acquired (Rubrik, June 2026)</t>
  </si>
  <si>
    <t xml:space="preserve">Identity orchestration with failover to a secondary identity provider and policy-based agent permissions.</t>
  </si>
  <si>
    <t xml:space="preserve">Identity resilience; agentic identity policy</t>
  </si>
  <si>
    <t xml:space="preserve">Keycard</t>
  </si>
  <si>
    <t xml:space="preserve">Identity and access for AI agents and autonomous coding agents. Acquired Anchor.dev in February 2026.</t>
  </si>
  <si>
    <t xml:space="preserve">Developer teams issuing identities to coding agents</t>
  </si>
  <si>
    <t xml:space="preserve">Keyfactor (Cofide)</t>
  </si>
  <si>
    <t xml:space="preserve">Cofide (July 2026) brings verified identity for agents and cloud workloads into Keyfactor's machine identity platform.</t>
  </si>
  <si>
    <t xml:space="preserve">PKI and workload identity for agents</t>
  </si>
  <si>
    <t xml:space="preserve">Runlayer</t>
  </si>
  <si>
    <t xml:space="preserve">MCP security gateway: authentication, authorization and logging for MCP servers and the agents that call them. $11M seed in November 2025.</t>
  </si>
  <si>
    <t xml:space="preserve">Teams standardizing on MCP</t>
  </si>
  <si>
    <t xml:space="preserve">Helmet Security</t>
  </si>
  <si>
    <t xml:space="preserve">MCP infrastructure security: server verification, policy and monitoring. $9M seed in December 2025.</t>
  </si>
  <si>
    <t xml:space="preserve">MCP server operators</t>
  </si>
  <si>
    <t xml:space="preserve">Operant AI</t>
  </si>
  <si>
    <t xml:space="preserve">Runtime protection for AI apps and MCP: live traffic inspection, agent and tool guardrails.</t>
  </si>
  <si>
    <t xml:space="preserve">Kubernetes-hosted AI apps and MCP servers</t>
  </si>
  <si>
    <t xml:space="preserve">Invariant Labs (Snyk)</t>
  </si>
  <si>
    <t xml:space="preserve">Acquired (Snyk, June 2025)</t>
  </si>
  <si>
    <t xml:space="preserve">Agent security testing and guardrails, now part of Snyk's AI Trust Platform with Evo agentic security and MCP server scanning.</t>
  </si>
  <si>
    <t xml:space="preserve">Snyk customers; agentic AI testing</t>
  </si>
  <si>
    <t xml:space="preserve">Snyk (AI Trust Platform)</t>
  </si>
  <si>
    <t xml:space="preserve">AI-BOM scanning, Evo agentic security, MCP server security, Invariant Labs guardrails.</t>
  </si>
  <si>
    <t xml:space="preserve">DevSecOps; AI-generated code and MCP supply chain</t>
  </si>
  <si>
    <t xml:space="preserve">Sonatype</t>
  </si>
  <si>
    <t xml:space="preserve">Software supply chain: SBOM, AI and ML model scanning (Hugging Face), malware detection.</t>
  </si>
  <si>
    <t xml:space="preserve">SBOM-driven supply chain security</t>
  </si>
  <si>
    <t xml:space="preserve">Chainguard</t>
  </si>
  <si>
    <t xml:space="preserve">Hardened containers with SBOM, SLSA provenance and secure Python for ML.</t>
  </si>
  <si>
    <t xml:space="preserve">Secure base images for ML and agent pipelines</t>
  </si>
  <si>
    <t xml:space="preserve">Endor Labs</t>
  </si>
  <si>
    <t xml:space="preserve">AI-BOM and ML supply chain risk analysis with a model dependency graph, integrated with SCA.</t>
  </si>
  <si>
    <t xml:space="preserve">DevSecOps teams adding AI to existing SCA workflows</t>
  </si>
  <si>
    <t xml:space="preserve">ReversingLabs Spectra Assure</t>
  </si>
  <si>
    <t xml:space="preserve">Supply chain security with SAFE reports for AI and ML artifacts and CycloneDX export.</t>
  </si>
  <si>
    <t xml:space="preserve">Regulated industries; AI supply chain compliance</t>
  </si>
  <si>
    <t xml:space="preserve">OpenSSF Model Signing</t>
  </si>
  <si>
    <t xml:space="preserve">Open standard</t>
  </si>
  <si>
    <t xml:space="preserve">Open Source Security Foundation standard for signing models and provenance.</t>
  </si>
  <si>
    <t xml:space="preserve">Provenance verification for open models</t>
  </si>
  <si>
    <t xml:space="preserve">Sigstore / Model Transparency</t>
  </si>
  <si>
    <t xml:space="preserve">Sigstore signing extended to ML artifacts through the model transparency initiative.</t>
  </si>
  <si>
    <t xml:space="preserve">SLSA-style attestation for models</t>
  </si>
  <si>
    <t xml:space="preserve">Enkrypt AI (Anaconda)</t>
  </si>
  <si>
    <t xml:space="preserve">Acquired (Anaconda, August 2026)</t>
  </si>
  <si>
    <t xml:space="preserve">Guardrails, red teaming and token usage controls, now part of Anaconda's secure AI tooling.</t>
  </si>
  <si>
    <t xml:space="preserve">Anaconda customers; data science platforms</t>
  </si>
  <si>
    <t xml:space="preserve">Databricks (Antimatter)</t>
  </si>
  <si>
    <t xml:space="preserve">Antimatter (March 2026) brings authentication and authorization for AI agents into the Databricks platform alongside its AI gateway and Unity Catalog governance.</t>
  </si>
  <si>
    <t xml:space="preserve">Databricks customers</t>
  </si>
  <si>
    <t xml:space="preserve">Snowflake (Natoma)</t>
  </si>
  <si>
    <t xml:space="preserve">Natoma (May 2026) adds secure connectivity for agents to Snowflake's Cortex and governance stack.</t>
  </si>
  <si>
    <t xml:space="preserve">Snowflake customers</t>
  </si>
  <si>
    <t xml:space="preserve">AppViewX (Eos)</t>
  </si>
  <si>
    <t xml:space="preserve">Eos (March 2026): AI-native identity control for agents and autonomous workloads, including privileged access.</t>
  </si>
  <si>
    <t xml:space="preserve">Machine identity programs extending to agents</t>
  </si>
  <si>
    <t xml:space="preserve">104 vendors. Agentic SOC platforms (Radiant, Prophet, Simbian) are listed as adjacent: AI for security operations rather than security for AI.</t>
  </si>
  <si>
    <t xml:space="preserve">AI Security Risk Workbook: Compliance Mapping</t>
  </si>
  <si>
    <t xml:space="preserve">Every guardrail mapped to seven frameworks across eight columns (NIST AI RMF and its GenAI profile sit side by side). Use it for audit evidence and gap analysis, and the record cites the frameworks named on Org Profile (org.frameworks) for every guardrail in scope. The citations point to where the obligation or control lives; whether it applies to you depends on your role (provider or deployer under the EU AI Act, in scope or out for SOC 2) and your industry. Extend the mapping with your auditors for anything you certify against beyond these eight.</t>
  </si>
  <si>
    <t xml:space="preserve">1. Framework reference</t>
  </si>
  <si>
    <t xml:space="preserve">Framework</t>
  </si>
  <si>
    <t xml:space="preserve">Full name and version</t>
  </si>
  <si>
    <t xml:space="preserve">How the column cites it</t>
  </si>
  <si>
    <t xml:space="preserve">CSA AICM</t>
  </si>
  <si>
    <t xml:space="preserve">Cloud Security Alliance AI Controls Matrix v1.1 (2026): 247 control objectives across 18 domains, CCM v4.1 plus Model Security (MDS) and AI-specific controls</t>
  </si>
  <si>
    <t xml:space="preserve">Control IDs as the AICM lists them (AIS-08, MDS-02, IAM-19). Use for shared-responsibility conversations with cloud and AI providers; the AI-CAIQ asks the same questions.</t>
  </si>
  <si>
    <t xml:space="preserve">EU AI Act</t>
  </si>
  <si>
    <t xml:space="preserve">Regulation (EU) 2024/1689. Prohibitions since 2 February 2025, GPAI duties since 2 August 2025, transparency duties (Art. 50) from 2 August 2026. The 2026 Digital Omnibus moved Annex III high-risk obligations to 2 December 2027 and Annex I to 2 August 2028; confirm the current dates before relying on them.</t>
  </si>
  <si>
    <t xml:space="preserve">Articles. Most high-risk duties (Art. 9 to 15) sit with the provider; a buyer meets them through Art. 26 deployer duties and the provider's documentation (Art. 13). Art. 25 covers the value chain and written agreements.</t>
  </si>
  <si>
    <t xml:space="preserve">ISO/IEC 42001</t>
  </si>
  <si>
    <t xml:space="preserve">ISO/IEC 42001:2023 AI management system. Clauses 4 to 10, plus Annex A controls (A.2 to A.10) which are normative when selected in the Statement of Applicability</t>
  </si>
  <si>
    <t xml:space="preserve">Annex A control references (A.6.2.6, A.7.5, A.10.3) and clause numbers where the clause itself is the fit.</t>
  </si>
  <si>
    <t xml:space="preserve">MITRE ATLAS</t>
  </si>
  <si>
    <t xml:space="preserve">Adversarial Threat Landscape for AI Systems, data release 2026.09: 16 tactics, 208 techniques and sub-techniques, 40 mitigations, with the agentic additions from late 2025 onward</t>
  </si>
  <si>
    <t xml:space="preserve">Technique IDs (AML.T0051) the guardrail counters and mitigation IDs (AML.M0020) it implements. Use for threat modeling and red-team planning.</t>
  </si>
  <si>
    <t xml:space="preserve">NIST AI RMF</t>
  </si>
  <si>
    <t xml:space="preserve">NIST AI Risk Management Framework 1.0 (January 2023): GOVERN, MAP, MEASURE, MANAGE functions and their subcategories</t>
  </si>
  <si>
    <t xml:space="preserve">Subcategory IDs (GOVERN 1.6, MEASURE 2.7). The subcategory is the unit auditors and the GenAI profile key off.</t>
  </si>
  <si>
    <t xml:space="preserve">NIST AI 600-1</t>
  </si>
  <si>
    <t xml:space="preserve">NIST AI 600-1 Generative AI Profile (July 2024): about 200 suggested actions keyed to RMF subcategories, addressing 12 GenAI risks</t>
  </si>
  <si>
    <t xml:space="preserve">The action group by subcategory (MS-2.7 actions) and the GenAI risk it addresses (Information Security, Data Privacy, Confabulation, Value Chain and Component Integration, and so on).</t>
  </si>
  <si>
    <t xml:space="preserve">OWASP</t>
  </si>
  <si>
    <t xml:space="preserve">OWASP Top 10 for LLM Applications 2025 (LLM01 to LLM10) and OWASP Top 10 for Agentic Applications 2026 (ASI01 to ASI10, released December 2025)</t>
  </si>
  <si>
    <t xml:space="preserve">Risk IDs with their names. Cite the LLM list for any model-backed app and add the ASI list when the agentic flag is set.</t>
  </si>
  <si>
    <t xml:space="preserve">AICPA Trust Services Criteria (2017, with 2022 points of focus): Common Criteria CC1 to CC9, Availability, Confidentiality, Processing Integrity, Privacy</t>
  </si>
  <si>
    <t xml:space="preserve">Criteria IDs (CC6.1, C1.1, PI1.4). Use when the tool is in scope for your own SOC 2, and to read a vendor's SOC 2 report against the guardrail.</t>
  </si>
  <si>
    <t xml:space="preserve">2. Guardrail to framework mapping</t>
  </si>
  <si>
    <t xml:space="preserve">Filter by family or by ID. The ID column matches the Guardrail Checklist tab.</t>
  </si>
  <si>
    <t xml:space="preserve">table:compliance</t>
  </si>
  <si>
    <t xml:space="preserve">compliance</t>
  </si>
  <si>
    <t xml:space="preserve">GRC-05 Information Security Program; DCS-06 Assets Cataloguing and Tracking; UEM-02 Application and Service Approval; STA-16 Service BOM</t>
  </si>
  <si>
    <t xml:space="preserve">Art. 26 deployer obligations (know and record what is in use); Art. 49 registration of high-risk systems; Art. 11 technical documentation (providers)</t>
  </si>
  <si>
    <t xml:space="preserve">A.4.2 Resource documentation; A.6.2.7 AI system technical documentation; A.9.4 Intended use</t>
  </si>
  <si>
    <t xml:space="preserve">AML.M0023 AI Bill of Materials; supports every other mitigation by naming what exists</t>
  </si>
  <si>
    <t xml:space="preserve">GOVERN 1.6 (inventory of AI systems); MAP 1.1 (context and intended purpose); MAP 3.3 (scope)</t>
  </si>
  <si>
    <t xml:space="preserve">GV-1.6 actions (inventory); Value Chain and Component Integration</t>
  </si>
  <si>
    <t xml:space="preserve">LLM03 Supply Chain; ASI04 Agentic Supply Chain Vulnerabilities</t>
  </si>
  <si>
    <t xml:space="preserve">CC6.1 (asset inventory supports logical access); CC3.2; CC2.1</t>
  </si>
  <si>
    <t xml:space="preserve">GRC-02 Risk Management Program; GRC-10 AI Impact Assessment; TVM-12 Threat Analysis and Modelling</t>
  </si>
  <si>
    <t xml:space="preserve">Art. 6 classification rules; Art. 9 risk management system; Art. 27 fundamental rights impact assessment (deployers, where it applies)</t>
  </si>
  <si>
    <t xml:space="preserve">6.1.2 AI risk assessment; 6.1.4 and 8.4 AI system impact assessment; A.5.2 AI system impact assessment process</t>
  </si>
  <si>
    <t xml:space="preserve">Threat model across the ATLAS tactics (AML.TA0004 Initial Access through AML.TA0011 Impact); AML.M0035 AI Red Team at High and Severe</t>
  </si>
  <si>
    <t xml:space="preserve">MAP 1.5 (risk tolerance); MAP 5.1 (likelihood and magnitude); MEASURE 1.1; MANAGE 1.2 (prioritization)</t>
  </si>
  <si>
    <t xml:space="preserve">MP-5.1 actions; GV-1.3 actions (risk tolerance); all 12 GenAI risks are candidates at classification</t>
  </si>
  <si>
    <t xml:space="preserve">Risk-based scoping across LLM01 to LLM10; ASI01 to ASI10 when agentic</t>
  </si>
  <si>
    <t xml:space="preserve">CC3.1, CC3.2, CC3.4 (risk assessment and changes)</t>
  </si>
  <si>
    <t xml:space="preserve">GRC-01 Governance Program Policy; GRC-06 Governance Responsibility Model; UEM-02 Application and Service Approval; CCC-04 Change Authorization</t>
  </si>
  <si>
    <t xml:space="preserve">Art. 26(1) deployers use the system under appropriate technical and organizational measures; Art. 17 quality management (providers)</t>
  </si>
  <si>
    <t xml:space="preserve">A.3.2 AI roles and responsibilities; A.6.2.5 AI system deployment; 5.3 organizational roles</t>
  </si>
  <si>
    <t xml:space="preserve">AML.M0021 Generative AI Guidelines (approved use is written down)</t>
  </si>
  <si>
    <t xml:space="preserve">GOVERN 1.4 (transparent risk management process); GOVERN 2.1 (roles); MANAGE 1.1</t>
  </si>
  <si>
    <t xml:space="preserve">GV-1.4 actions; GV-2.1 actions</t>
  </si>
  <si>
    <t xml:space="preserve">LLM06 Excessive Agency (approved scope); ASI03 Identity and Privilege Abuse (approval before privilege)</t>
  </si>
  <si>
    <t xml:space="preserve">CC5.1, CC5.3 (policies and procedures); CC8.1 (authorization)</t>
  </si>
  <si>
    <t xml:space="preserve">GRC-09 Acceptable Use of the AI Service; HRS-15 AI Acceptable Use; HRS-02 Acceptable Use of Technology</t>
  </si>
  <si>
    <t xml:space="preserve">Art. 4 AI literacy; Art. 26 deployer obligations (use per instructions, assign oversight)</t>
  </si>
  <si>
    <t xml:space="preserve">A.2.2 AI policy; A.2.3 Alignment with other organizational policies; A.9.2 Processes for responsible use</t>
  </si>
  <si>
    <t xml:space="preserve">AML.M0021 Generative AI Guidelines; AML.M0018 User Training</t>
  </si>
  <si>
    <t xml:space="preserve">GOVERN 1.1 (legal and regulatory requirements); GOVERN 1.2 (trustworthy characteristics in policy); GOVERN 2.2 (training)</t>
  </si>
  <si>
    <t xml:space="preserve">GV-1.2 actions (policies for GenAI use); Human-AI Configuration</t>
  </si>
  <si>
    <t xml:space="preserve">ASI09 Human-Agent Trust Exploitation (user guidance); LLM02 (what users may share)</t>
  </si>
  <si>
    <t xml:space="preserve">CC1.1 (integrity and ethical values); CC1.4; CC2.2 (internal communication)</t>
  </si>
  <si>
    <t xml:space="preserve">GRC-06 Governance Responsibility Model; DSP-06 Data Ownership and Stewardship; STA-05 SSRM Control Ownership</t>
  </si>
  <si>
    <t xml:space="preserve">Art. 26(2) deployers assign human oversight to competent, authorized persons; Art. 17 accountability within the QMS</t>
  </si>
  <si>
    <t xml:space="preserve">A.3.2 AI roles and responsibilities; 5.3 organizational roles</t>
  </si>
  <si>
    <t xml:space="preserve">No technique. A named owner operates the mitigations (AML.M0019 through AML.M0024) and answers for them</t>
  </si>
  <si>
    <t xml:space="preserve">GOVERN 2.1 (roles and responsibilities documented); GOVERN 2.3 (executive accountability); MAP 1.2</t>
  </si>
  <si>
    <t xml:space="preserve">GV-2.1 actions (roles, including GenAI incident response roles)</t>
  </si>
  <si>
    <t xml:space="preserve">ASI10 Rogue Agents (someone answers for the agent); ASI03</t>
  </si>
  <si>
    <t xml:space="preserve">CC1.3 (structures, reporting lines, authorities); CC2.2</t>
  </si>
  <si>
    <t xml:space="preserve">STA-01 Supply Chain Risk Management Policy; STA-09 Supply Chain Risk Management; STA-12 Supply Chain Compliance Assessment; STA-15 Supply Chain Data Security Assessment; A&amp;A-02 Independent Assessments</t>
  </si>
  <si>
    <t xml:space="preserve">Art. 25 responsibilities along the AI value chain (written agreements); Art. 53 GPAI provider documentation to downstream providers; Art. 26 deployers rely on provider instructions (Art. 13)</t>
  </si>
  <si>
    <t xml:space="preserve">A.10.2 Allocating responsibilities; A.10.3 Suppliers</t>
  </si>
  <si>
    <t xml:space="preserve">AML.T0010 AI Supply Chain Compromise (.001 AI Software, .003 Model); AML.M0014 Verify AI Artifacts; AML.M0023 AI Bill of Materials</t>
  </si>
  <si>
    <t xml:space="preserve">GOVERN 6.1 (third-party risk policies); GOVERN 6.2 (contingency for third-party failures); MAP 4.1; MAP 4.2</t>
  </si>
  <si>
    <t xml:space="preserve">GV-6.1 actions; GV-6.2 actions; Value Chain and Component Integration</t>
  </si>
  <si>
    <t xml:space="preserve">CC9.2 (vendor and business partner risk); CC3.2</t>
  </si>
  <si>
    <t xml:space="preserve">GRC-07 Information System Regulatory Mapping; A&amp;A-04 Requirements Compliance</t>
  </si>
  <si>
    <t xml:space="preserve">Art. 6 (is the use high-risk); Art. 26 and Art. 27 (deployer duties and impact assessment); Art. 50 (transparency duties)</t>
  </si>
  <si>
    <t xml:space="preserve">4.2 Understanding the needs and expectations of interested parties; A.2.2 AI policy; A.8.3 External reporting</t>
  </si>
  <si>
    <t xml:space="preserve">No technique. The matrix shows which regulatory control each ATLAS mitigation serves</t>
  </si>
  <si>
    <t xml:space="preserve">GOVERN 1.1 (legal and regulatory requirements understood and managed); MAP 1.1</t>
  </si>
  <si>
    <t xml:space="preserve">GV-1.1 actions (align GenAI use with applicable law)</t>
  </si>
  <si>
    <t xml:space="preserve">Cross-cutting: the LLM and Agentic lists are the control lenses this map cites</t>
  </si>
  <si>
    <t xml:space="preserve">CC1.1; CC2.3 (external communication); CC3.1 (objectives include compliance)</t>
  </si>
  <si>
    <t xml:space="preserve">DSP-19 Data Location; DSP-10 Sensitive Data Transfer; STA-10 Primary Service and Contractual Agreement</t>
  </si>
  <si>
    <t xml:space="preserve">Art. 22 authorized representatives for non-EU providers; residency and transfer rules sit in GDPR Chapter V, outside the AI Act</t>
  </si>
  <si>
    <t xml:space="preserve">A.7.3 Acquisition of data; A.10.3 Suppliers; A.7.5 Data provenance</t>
  </si>
  <si>
    <t xml:space="preserve">AML.M0005 Control Access to AI Models and Data at Rest; AML.M0019 Control Access to AI Models and Data in Production</t>
  </si>
  <si>
    <t xml:space="preserve">MAP 4.1 (legal risks of third-party components); GOVERN 1.1; MANAGE 3.1</t>
  </si>
  <si>
    <t xml:space="preserve">MP-4.1 actions; Data Privacy</t>
  </si>
  <si>
    <t xml:space="preserve">LLM02 Sensitive Information Disclosure (where prompts and data land); LLM03</t>
  </si>
  <si>
    <t xml:space="preserve">C1.1 (confidential information identified); CC6.7 (transmission); P4.1</t>
  </si>
  <si>
    <t xml:space="preserve">AIS-08 Input Validation; AIS-15 Prompt Differentiation; TVM-11 Guardrails; LOG-14 Input Monitoring</t>
  </si>
  <si>
    <t xml:space="preserve">Art. 15(5) cybersecurity: resilience against attempts to alter use or behavior, including attacks specific to AI; Art. 15(1) robustness</t>
  </si>
  <si>
    <t xml:space="preserve">A.6.2.4 AI system verification and validation; A.6.2.6 AI system operation and monitoring</t>
  </si>
  <si>
    <t xml:space="preserve">AML.T0051 LLM Prompt Injection (.000 Direct, .001 Indirect, .002 Triggered); AML.T0054 LLM Jailbreak; AML.T0068 LLM Prompt Obfuscation; AML.T0093 Prompt Infiltration via Public-Facing Application; AML.M0020 Generative AI Guardrails; AML.M0033 Input and Output Validation for AI Agent Components</t>
  </si>
  <si>
    <t xml:space="preserve">MEASURE 2.7 (security and resilience); MEASURE 2.5 (validity and reliability); MANAGE 2.2</t>
  </si>
  <si>
    <t xml:space="preserve">MS-2.7 actions (prompt injection, security testing); Information Security</t>
  </si>
  <si>
    <t xml:space="preserve">LLM01 Prompt Injection; LLM07 System Prompt Leakage; ASI01 Agent Goal Hijack</t>
  </si>
  <si>
    <t xml:space="preserve">CC6.6 (boundary protection); CC6.8; PI1.2 (inputs)</t>
  </si>
  <si>
    <t xml:space="preserve">AIS-09 Output Validation; LOG-15 Output Monitoring; TVM-11 Guardrails; IAM-18 Output Modification and Special Authorization</t>
  </si>
  <si>
    <t xml:space="preserve">Art. 15(1) accuracy and robustness; Art. 15(4) feedback loops; Art. 50(1) people told they are dealing with AI</t>
  </si>
  <si>
    <t xml:space="preserve">A.6.2.6 AI system operation and monitoring; A.8.2 System documentation and information for users; A.9.3 Objectives for responsible use</t>
  </si>
  <si>
    <t xml:space="preserve">AML.T0057 LLM Data Leakage; AML.T0077 LLM Response Rendering; AML.T0067 LLM Trusted Output Components Manipulation; AML.T0102 Generate Malicious Commands; AML.M0020 Generative AI Guardrails; AML.M0033 Input and Output Validation</t>
  </si>
  <si>
    <t xml:space="preserve">MEASURE 2.6 (safety); MEASURE 2.10 (privacy); MANAGE 2.2; MANAGE 4.1</t>
  </si>
  <si>
    <t xml:space="preserve">MS-2.6 actions; MS-2.10 actions; Dangerous, Violent, or Hateful Content; Data Privacy; Confabulation</t>
  </si>
  <si>
    <t xml:space="preserve">LLM05 Improper Output Handling; LLM02 Sensitive Information Disclosure; LLM09 Misinformation</t>
  </si>
  <si>
    <t xml:space="preserve">PI1.3, PI1.4 (processing and outputs); C1.1; CC6.7</t>
  </si>
  <si>
    <t xml:space="preserve">AIS-10 API Security; I&amp;S-02 Capacity and Resource Planning; TVM-11 Guardrails</t>
  </si>
  <si>
    <t xml:space="preserve">Art. 15(1) robustness and resilience; Art. 15(5)</t>
  </si>
  <si>
    <t xml:space="preserve">A.4.5 System and computing resources; A.6.2.6</t>
  </si>
  <si>
    <t xml:space="preserve">AML.T0034 Cost Harvesting (.000 Excessive Queries); AML.T0029 Denial of AI Service; AML.T0024 Exfiltration via AI Inference API; AML.M0004 Limit AI Service Query Volume and Rate</t>
  </si>
  <si>
    <t xml:space="preserve">MEASURE 2.7; MANAGE 2.2; MAP 3.2 (costs)</t>
  </si>
  <si>
    <t xml:space="preserve">MS-2.7 actions; Information Security</t>
  </si>
  <si>
    <t xml:space="preserve">LLM10 Unbounded Consumption</t>
  </si>
  <si>
    <t xml:space="preserve">A1.1 (capacity); CC6.1; CC7.2</t>
  </si>
  <si>
    <t xml:space="preserve">I&amp;S-02 Capacity and Resource Planning; AIS-10 API Security; AIS-11 Agents Security Boundaries</t>
  </si>
  <si>
    <t xml:space="preserve">Art. 15(1) robustness; Art. 14(4)(e) ability to interrupt the system</t>
  </si>
  <si>
    <t xml:space="preserve">AML.T0034.002 Agentic Resource Consumption; AML.T0029 Denial of AI Service; AML.M0036 Limit AI Workload Resource Consumption; AML.M0004</t>
  </si>
  <si>
    <t xml:space="preserve">MANAGE 2.2; MANAGE 2.4 (mechanisms to disengage); MEASURE 2.7</t>
  </si>
  <si>
    <t xml:space="preserve">MG-2.2 actions; MG-2.4 actions; Information Security; Environmental Impacts</t>
  </si>
  <si>
    <t xml:space="preserve">LLM10 Unbounded Consumption; ASI08 Cascading Failures; ASI10 Rogue Agents</t>
  </si>
  <si>
    <t xml:space="preserve">A1.1, A1.2; CC7.2</t>
  </si>
  <si>
    <t xml:space="preserve">TVM-11 Guardrails; TVM-02 Malware and Malicious Instructions Protection; AIS-09 Output Validation; GRC-09 Acceptable Use of the AI Service</t>
  </si>
  <si>
    <t xml:space="preserve">Art. 5 prohibited practices (manipulative or exploitative systems); Art. 50(1); Art. 53 and 55 for GPAI providers</t>
  </si>
  <si>
    <t xml:space="preserve">A.5.4 Assessing AI system impact on individuals or groups; A.5.5 Assessing societal impacts; A.9.3</t>
  </si>
  <si>
    <t xml:space="preserve">AML.T0048 External Harms (.002 Societal, .003 User); AML.T0054 LLM Jailbreak; AML.T0088 Generate Deepfakes; AML.M0020 Generative AI Guardrails; AML.M0022 Generative AI Model Alignment</t>
  </si>
  <si>
    <t xml:space="preserve">MEASURE 2.6 (safety); MEASURE 2.11 (harmful bias); MANAGE 1.3</t>
  </si>
  <si>
    <t xml:space="preserve">MS-2.6 actions; Dangerous, Violent, or Hateful Content; Obscene, Degrading, and/or Abusive Content; CBRN Information or Capabilities</t>
  </si>
  <si>
    <t xml:space="preserve">LLM05 Improper Output Handling; LLM09 Misinformation; ASI09 Human-Agent Trust Exploitation</t>
  </si>
  <si>
    <t xml:space="preserve">CC5.2 (technology controls); PI1.1</t>
  </si>
  <si>
    <t xml:space="preserve">AIS-08 Input Validation; AIS-15 Prompt Differentiation; LOG-14 Input Monitoring</t>
  </si>
  <si>
    <t xml:space="preserve">Art. 15(5) attacks specific to AI, including adversarial examples; Art. 15(1)</t>
  </si>
  <si>
    <t xml:space="preserve">A.6.2.4 AI system verification and validation; A.7.4 Quality of data</t>
  </si>
  <si>
    <t xml:space="preserve">AML.T0129 Triggers in Multimodal Inputs; AML.T0051.001 Indirect prompt injection; AML.T0043 Craft Adversarial Data; AML.M0033 Input and Output Validation for AI Agent Components</t>
  </si>
  <si>
    <t xml:space="preserve">MEASURE 2.7; MEASURE 2.5</t>
  </si>
  <si>
    <t xml:space="preserve">LLM01 Prompt Injection (multimodal); ASI01 Agent Goal Hijack</t>
  </si>
  <si>
    <t xml:space="preserve">CC6.6; PI1.2</t>
  </si>
  <si>
    <t xml:space="preserve">I&amp;S-03 Network Security; I&amp;S-09 Network Defense; I&amp;S-06 Segmentation and Segregation</t>
  </si>
  <si>
    <t xml:space="preserve">Art. 15(5) cybersecurity measures appropriate to the circumstances</t>
  </si>
  <si>
    <t xml:space="preserve">A.6.2.5 AI system deployment; A.4.5 System and computing resources</t>
  </si>
  <si>
    <t xml:space="preserve">AML.T0025 Exfiltration via Cyber Means; AML.T0086 Exfiltration via AI Agent Tool Invocation; AML.T0072 Cyber Communication Channel; AML.T0008.005 AI Service Proxies; AML.M0032 Segmentation of AI Agent Components; AML.M0030 Restrict AI Agent Tool Invocation on Untrusted Data</t>
  </si>
  <si>
    <t xml:space="preserve">MEASURE 2.7; MANAGE 2.4</t>
  </si>
  <si>
    <t xml:space="preserve">LLM02 Sensitive Information Disclosure (the exfiltration path); ASI02 Tool Misuse; ASI08 Cascading Failures</t>
  </si>
  <si>
    <t xml:space="preserve">CC6.6 (boundaries); CC6.7 (transmission restricted); CC6.1</t>
  </si>
  <si>
    <t xml:space="preserve">AIS-14 AI Cache Protection; DSP-17 Sensitive Data Protection; I&amp;S-06 Segmentation and Segregation</t>
  </si>
  <si>
    <t xml:space="preserve">Art. 15(5) cybersecurity; personal data in caches falls under GDPR, outside the AI Act</t>
  </si>
  <si>
    <t xml:space="preserve">AML.T0057 LLM Data Leakage; AML.T0092 Manipulate User LLM Chat History; AML.T0080.001 AI Agent Context Poisoning: Thread; AML.M0031 Memory Hardening; AML.M0027 Single-User AI Agent Permissions Configuration</t>
  </si>
  <si>
    <t xml:space="preserve">MEASURE 2.10 (privacy); MANAGE 2.4</t>
  </si>
  <si>
    <t xml:space="preserve">MS-2.10 actions; Data Privacy</t>
  </si>
  <si>
    <t xml:space="preserve">LLM02 Sensitive Information Disclosure; ASI06 Memory and Context Poisoning</t>
  </si>
  <si>
    <t xml:space="preserve">C1.1; CC6.1 (segmentation); CC6.3</t>
  </si>
  <si>
    <t xml:space="preserve">BCR-04 Business Continuity Planning; BCR-09 Disaster Response Plan; MDS-11 Model Failure; CCC-09 Change Restoration</t>
  </si>
  <si>
    <t xml:space="preserve">Art. 15(4) resilience through redundancy, backup or fail-safe plans; Art. 14(4)(e) interrupt or stop; Art. 20 corrective actions</t>
  </si>
  <si>
    <t xml:space="preserve">A.6.2.6 AI system operation and monitoring; A.8.4 Communication of incidents; 10.2 nonconformity and corrective action</t>
  </si>
  <si>
    <t xml:space="preserve">No mitigation of its own; the fail-safe path limits the impact of AML.T0029 Denial of AI Service, AML.T0031 Erode AI Model Integrity and AML.T0076 Corrupt AI Model</t>
  </si>
  <si>
    <t xml:space="preserve">MANAGE 2.4 (supersede, disengage, deactivate); MANAGE 2.3 (unknown risks); MANAGE 4.1</t>
  </si>
  <si>
    <t xml:space="preserve">MG-2.4 actions; MG-2.3 actions; Human-AI Configuration</t>
  </si>
  <si>
    <t xml:space="preserve">LLM09 Misinformation (fall back to a person); ASI08 Cascading Failures; ASI10 Rogue Agents (containment)</t>
  </si>
  <si>
    <t xml:space="preserve">A1.2 (recovery); A1.3 (recovery plan testing); CC7.5; CC9.1</t>
  </si>
  <si>
    <t xml:space="preserve">UEM-04 Endpoint Inventory; UEM-02 Application and Service Approval; DCS-06 Assets Cataloguing and Tracking; LOG-07 Logging Scope</t>
  </si>
  <si>
    <t xml:space="preserve">Art. 26 deployer obligations (an organization has to know what AI it deploys); Art. 4 AI literacy</t>
  </si>
  <si>
    <t xml:space="preserve">A.4.2 Resource documentation; A.6.2.6 AI system operation and monitoring</t>
  </si>
  <si>
    <t xml:space="preserve">AML.T0047 AI-Enabled Product or Service; AML.T0132 Misconfigured or Publicly Exposed AI Services; AML.T0114 AI Service Web Interface; AML.M0023 AI Bill of Materials; AML.M0024 AI Telemetry Logging</t>
  </si>
  <si>
    <t xml:space="preserve">GOVERN 1.6 (inventory); GOVERN 1.5 (ongoing monitoring); MAP 1.1</t>
  </si>
  <si>
    <t xml:space="preserve">GV-1.6 actions; GV-1.5 actions</t>
  </si>
  <si>
    <t xml:space="preserve">CC6.1; CC7.1 (detection of new software and configuration change); CC7.2</t>
  </si>
  <si>
    <t xml:space="preserve">UEM-02 Application and Service Approval; GRC-04 Policy Exception Process; HRS-15 AI Acceptable Use</t>
  </si>
  <si>
    <t xml:space="preserve">Art. 26(1) deployer obligations; Art. 4</t>
  </si>
  <si>
    <t xml:space="preserve">A.9.2 Processes for responsible use of AI; A.2.2 AI policy</t>
  </si>
  <si>
    <t xml:space="preserve">AML.M0021 Generative AI Guidelines; AML.M0019 Control Access to AI Models and Data in Production</t>
  </si>
  <si>
    <t xml:space="preserve">GOVERN 1.4; GOVERN 1.6; MANAGE 1.1</t>
  </si>
  <si>
    <t xml:space="preserve">GV-1.6 actions</t>
  </si>
  <si>
    <t xml:space="preserve">LLM03 Supply Chain; ASI04</t>
  </si>
  <si>
    <t xml:space="preserve">CC6.1; CC6.8 (unauthorized software); CC5.3</t>
  </si>
  <si>
    <t xml:space="preserve">LOG-12 Access Control Logs; LOG-04 Audit Logs Access and Accountability; IAM-13 Uniquely Identifiable Users</t>
  </si>
  <si>
    <t xml:space="preserve">Art. 12 record-keeping; Art. 26(6) deployers keep automatically generated logs for at least six months; Art. 14</t>
  </si>
  <si>
    <t xml:space="preserve">A.6.2.8 AI system recording of event logs; A.6.2.6</t>
  </si>
  <si>
    <t xml:space="preserve">AML.M0024 AI Telemetry Logging; detects AML.T0012 Valid Accounts and AML.T0040 AI Model Inference API Access</t>
  </si>
  <si>
    <t xml:space="preserve">GOVERN 1.5 (monitoring); MEASURE 2.4 (monitoring in deployment); MANAGE 4.1</t>
  </si>
  <si>
    <t xml:space="preserve">MS-2.4 actions; MG-4.1 actions</t>
  </si>
  <si>
    <t xml:space="preserve">LLM02 (who saw what); ASI03 Identity and Privilege Abuse</t>
  </si>
  <si>
    <t xml:space="preserve">CC6.1; CC7.2 (anomaly monitoring); CC4.1</t>
  </si>
  <si>
    <t xml:space="preserve">LOG-03 Security Monitoring and Alerting; LOG-05 Audit Logs Monitoring and Response; LOG-13 Failures and Anomalies Reporting; I&amp;S-02 Capacity and Resource Planning</t>
  </si>
  <si>
    <t xml:space="preserve">Art. 26(5) deployers monitor operation per the instructions for use; Art. 72 post-market monitoring (providers); Art. 12</t>
  </si>
  <si>
    <t xml:space="preserve">A.6.2.6 AI system operation and monitoring; 9.1 Monitoring, measurement, analysis and evaluation</t>
  </si>
  <si>
    <t xml:space="preserve">AML.M0024 AI Telemetry Logging; detects AML.T0034 Cost Harvesting and AML.T0029 Denial of AI Service</t>
  </si>
  <si>
    <t xml:space="preserve">MEASURE 2.4; MANAGE 4.1; MEASURE 3.1 (risk tracking)</t>
  </si>
  <si>
    <t xml:space="preserve">LLM10 Unbounded Consumption; ASI10 Rogue Agents (behavior drift)</t>
  </si>
  <si>
    <t xml:space="preserve">CC7.2; CC4.1; A1.1</t>
  </si>
  <si>
    <t xml:space="preserve">UEM-11 Data Loss Prevention; I&amp;S-09 Network Defense; HRS-15 AI Acceptable Use; DSP-10 Sensitive Data Transfer</t>
  </si>
  <si>
    <t xml:space="preserve">Art. 26 deployer control over how the system is used; Art. 4</t>
  </si>
  <si>
    <t xml:space="preserve">AML.T0057 LLM Data Leakage (through unmanaged accounts); AML.M0019 Control Access to AI Models and Data in Production; AML.M0021</t>
  </si>
  <si>
    <t xml:space="preserve">GOVERN 1.5; MANAGE 2.2; MEASURE 2.10</t>
  </si>
  <si>
    <t xml:space="preserve">MP-4.1 actions (data privacy); Data Privacy</t>
  </si>
  <si>
    <t xml:space="preserve">LLM02 Sensitive Information Disclosure</t>
  </si>
  <si>
    <t xml:space="preserve">CC6.6 (boundary); CC6.7 (data movement); C1.1</t>
  </si>
  <si>
    <t xml:space="preserve">LOG-07 Logging Scope; LOG-08 Log Records; LOG-11 Transaction/Activity Logging; LOG-14 Input Monitoring; LOG-15 Output Monitoring</t>
  </si>
  <si>
    <t xml:space="preserve">Art. 12 record-keeping (automatic logging over the lifetime); Art. 19 automatically generated logs (providers); Art. 26(6) deployer log retention</t>
  </si>
  <si>
    <t xml:space="preserve">A.6.2.8 AI system recording of event logs; A.6.2.7 technical documentation</t>
  </si>
  <si>
    <t xml:space="preserve">AML.M0024 AI Telemetry Logging; the evidence base for detecting every tactic</t>
  </si>
  <si>
    <t xml:space="preserve">GOVERN 4.2 (documentation of risks and impacts); MEASURE 2.4; MEASURE 2.8 (transparency and accountability); MANAGE 4.1</t>
  </si>
  <si>
    <t xml:space="preserve">MS-2.8 actions; MS-2.4 actions; MG-4.1 actions</t>
  </si>
  <si>
    <t xml:space="preserve">Supports detection across LLM01 to LLM10 and ASI01 to ASI10</t>
  </si>
  <si>
    <t xml:space="preserve">CC7.2; CC7.3 (evaluate security events); CC4.1</t>
  </si>
  <si>
    <t xml:space="preserve">LOG-02 Audit Logs Protection; LOG-09 Log Protection; DSP-16 Data Retention and Deletion</t>
  </si>
  <si>
    <t xml:space="preserve">Art. 19(1) providers keep logs at least six months; Art. 26(6) deployers keep logs at least six months unless law sets longer</t>
  </si>
  <si>
    <t xml:space="preserve">A.6.2.8 AI system recording of event logs; 7.5 documented information</t>
  </si>
  <si>
    <t xml:space="preserve">AML.M0024 AI Telemetry Logging (retained long enough to investigate)</t>
  </si>
  <si>
    <t xml:space="preserve">GOVERN 4.2; MEASURE 2.8; MANAGE 4.3 (incidents and errors communicated)</t>
  </si>
  <si>
    <t xml:space="preserve">GV-4.2 actions; MG-4.3 actions</t>
  </si>
  <si>
    <t xml:space="preserve">Supports forensic response to LLM01 and ASI01 to ASI10</t>
  </si>
  <si>
    <t xml:space="preserve">CC7.2; CC7.3; CC4.1</t>
  </si>
  <si>
    <t xml:space="preserve">LOG-03 Security Monitoring and Alerting; LOG-05 Audit Logs Monitoring and Response; SEF-06 Event Triage Processes</t>
  </si>
  <si>
    <t xml:space="preserve">Art. 15(5); Art. 26(5); Art. 73 serious incident reporting (detection feeds it)</t>
  </si>
  <si>
    <t xml:space="preserve">A.6.2.6 AI system operation and monitoring; A.8.4 Communication of incidents</t>
  </si>
  <si>
    <t xml:space="preserve">AML.M0024 AI Telemetry Logging; detection of AML.T0051 LLM Prompt Injection, AML.T0086 Exfiltration via AI Agent Tool Invocation, AML.T0101 Data Destruction via AI Agent Tool Invocation</t>
  </si>
  <si>
    <t xml:space="preserve">MEASURE 2.7; MANAGE 4.1; GOVERN 4.3 (incident information sharing)</t>
  </si>
  <si>
    <t xml:space="preserve">MS-2.7 actions; MG-4.1 actions; GV-4.3 actions</t>
  </si>
  <si>
    <t xml:space="preserve">Cross-cutting detection; ASI08 Cascading Failures; ASI10 Rogue Agents</t>
  </si>
  <si>
    <t xml:space="preserve">CC7.2; CC7.3; CC7.4</t>
  </si>
  <si>
    <t xml:space="preserve">LOG-03 Security Monitoring and Alerting; LOG-13 Failures and Anomalies Reporting; SEF-06 Event Triage Processes</t>
  </si>
  <si>
    <t xml:space="preserve">Art. 26(5) deployers inform the provider and authorities when they identify a risk; Art. 14(4) oversight of anomalies; Art. 72</t>
  </si>
  <si>
    <t xml:space="preserve">AML.M0024 AI Telemetry Logging; AML.M0038 AI Agent Scope Drift Detection</t>
  </si>
  <si>
    <t xml:space="preserve">MANAGE 4.1; MEASURE 3.1; MEASURE 3.3 (feedback)</t>
  </si>
  <si>
    <t xml:space="preserve">MG-4.1 actions; MS-3.3 actions</t>
  </si>
  <si>
    <t xml:space="preserve">LLM10 (cost alerts); ASI10 Rogue Agents; ASI08</t>
  </si>
  <si>
    <t xml:space="preserve">CC7.2; CC7.3; CC4.2 (deficiencies communicated)</t>
  </si>
  <si>
    <t xml:space="preserve">MDS-10 Model Continuous Monitoring; MDS-11 Model Failure; LOG-15 Output Monitoring; AIS-03 Application Security Metrics</t>
  </si>
  <si>
    <t xml:space="preserve">Art. 15(1) accuracy; Art. 72 post-market monitoring; Art. 13(3)(b)(ii) accuracy metrics in the instructions for use</t>
  </si>
  <si>
    <t xml:space="preserve">A.6.2.6 AI system operation and monitoring; A.6.2.4; 9.1</t>
  </si>
  <si>
    <t xml:space="preserve">AML.T0031 Erode AI Model Integrity; AML.T0062 Discover LLM Hallucinations; AML.T0060 Publish Hallucinated Entities; AML.M0038 AI Agent Scope Drift Detection; AML.M0024</t>
  </si>
  <si>
    <t xml:space="preserve">MEASURE 2.4 (monitored in deployment); MEASURE 2.5 (validity and reliability); MEASURE 4.2; MANAGE 4.1</t>
  </si>
  <si>
    <t xml:space="preserve">MS-2.5 actions; MS-2.4 actions; Confabulation</t>
  </si>
  <si>
    <t xml:space="preserve">LLM09 Misinformation; LLM04 Data and Model Poisoning (drift as a signal); ASI10</t>
  </si>
  <si>
    <t xml:space="preserve">PI1.3, PI1.4; CC4.1; A1.1</t>
  </si>
  <si>
    <t xml:space="preserve">TVM-06 Penetration Testing; MDS-06 Adversarial Attack Analysis; MDS-07 Robustness against Adversarial Attack / Model Hardening; TVM-12 Threat Analysis and Modelling</t>
  </si>
  <si>
    <t xml:space="preserve">Art. 9(6) and (8) testing; Art. 15(5); Art. 55(1)(a) adversarial testing for GPAI with systemic risk (providers); Art. 17(1)(d) and (f) testing in the QMS</t>
  </si>
  <si>
    <t xml:space="preserve">A.6.2.4 AI system verification and validation; A.6.2.6</t>
  </si>
  <si>
    <t xml:space="preserve">AML.M0035 AI Red Team; AML.M0016 Vulnerability Scanning; coverage of AML.T0051, AML.T0054, AML.T0080, AML.T0086 and the agentic techniques</t>
  </si>
  <si>
    <t xml:space="preserve">MEASURE 2.7; MEASURE 1.3 (independent assessors); MEASURE 2.5 through 2.11 (TEVV)</t>
  </si>
  <si>
    <t xml:space="preserve">MS-2.7 actions; MS-1.1 actions (red teaming, structured public feedback); Information Security</t>
  </si>
  <si>
    <t xml:space="preserve">LLM01, LLM07, ASI01, ASI05 as test targets; cross-cutting</t>
  </si>
  <si>
    <t xml:space="preserve">CC4.1 (evaluations); CC4.2; CC7.1 (vulnerability identification)</t>
  </si>
  <si>
    <t xml:space="preserve">GRC-11 Bias and Fairness Assessment; DSP-24 Data Differentiation and Relevance; MDS-03 Model Documentation</t>
  </si>
  <si>
    <t xml:space="preserve">Art. 10(2)(f) and (g) examination and mitigation of bias; Art. 15(4) feedback loops; Art. 27 fundamental rights impact assessment</t>
  </si>
  <si>
    <t xml:space="preserve">A.5.4 Assessing AI system impact on individuals or groups; A.7.4 Quality of data; A.6.2.4</t>
  </si>
  <si>
    <t xml:space="preserve">AML.T0048.002 Societal Harm; AML.T0130 AI Agent Response Biasing; AML.M0022 Generative AI Model Alignment</t>
  </si>
  <si>
    <t xml:space="preserve">MEASURE 2.11 (fairness and bias); MEASURE 2.2 (evaluations involving people); MANAGE 1.3</t>
  </si>
  <si>
    <t xml:space="preserve">MS-2.11 actions; Harmful Bias and Homogenization</t>
  </si>
  <si>
    <t xml:space="preserve">LLM09 Misinformation; ASI09 Human-Agent Trust Exploitation</t>
  </si>
  <si>
    <t xml:space="preserve">PI1.3, PI1.4; P7.1 (quality of personal information)</t>
  </si>
  <si>
    <t xml:space="preserve">LOG-15 Output Monitoring; LOG-03 Security Monitoring and Alerting; LOG-13 Failures and Anomalies Reporting; IAM-19 Agent Access Restriction; MDS-10 Model Continuous Monitoring</t>
  </si>
  <si>
    <t xml:space="preserve">Art. 26(5) deployer monitoring; Art. 14(4)(e) ability to interrupt; Art. 72 post-market monitoring</t>
  </si>
  <si>
    <t xml:space="preserve">A.6.2.6 AI system operation and monitoring; A.6.2.8; A.9.4 Intended use</t>
  </si>
  <si>
    <t xml:space="preserve">AML.M0038 AI Agent Scope Drift Detection; AML.M0037 AI Agent Authority Expansion Controls; AML.M0024 AI Telemetry Logging; detects AML.T0124 Autonomous Attack Orchestration, AML.T0116 Autonomous Reconnaissance, AML.T0117 Autonomous Attack-Path Adaptation, AML.T0086, AML.T0101</t>
  </si>
  <si>
    <t xml:space="preserve">MEASURE 2.4; MANAGE 4.1; MANAGE 2.4; MEASURE 3.1</t>
  </si>
  <si>
    <t xml:space="preserve">MS-2.4 actions; MG-4.1 actions; MG-2.4 actions; Human-AI Configuration</t>
  </si>
  <si>
    <t xml:space="preserve">ASI10 Rogue Agents; ASI08 Cascading Failures; ASI02 Tool Misuse; LLM06 Excessive Agency</t>
  </si>
  <si>
    <t xml:space="preserve">UEM-11 Data Loss Prevention; DSP-10 Sensitive Data Transfer; DSP-17 Sensitive Data Protection; DSP-07 Data Protection by Design and Default</t>
  </si>
  <si>
    <t xml:space="preserve">Art. 10 data governance (providers); Art. 26 deployer measures; personal data security sits in GDPR Art. 32, outside the AI Act</t>
  </si>
  <si>
    <t xml:space="preserve">A.7.2 Data for development and enhancement of AI system; A.7.3 Acquisition of data; A.9.2</t>
  </si>
  <si>
    <t xml:space="preserve">AML.T0057 LLM Data Leakage; AML.T0025 Exfiltration via Cyber Means; AML.T0086 Exfiltration via AI Agent Tool Invocation; AML.M0019 Control Access to AI Models and Data in Production; AML.M0030</t>
  </si>
  <si>
    <t xml:space="preserve">MAP 4.1; MAP 4.2 (internal risk controls for third-party components); MANAGE 2.4; MEASURE 2.10</t>
  </si>
  <si>
    <t xml:space="preserve">MP-4.1 actions; MS-2.10 actions; Data Privacy; Intellectual Property</t>
  </si>
  <si>
    <t xml:space="preserve">LLM02 Sensitive Information Disclosure; ASI02 Tool Misuse (data pushed through tools)</t>
  </si>
  <si>
    <t xml:space="preserve">CC6.7; C1.1; P6.1 (disclosure to third parties)</t>
  </si>
  <si>
    <t xml:space="preserve">DSP-04 Data Classification; DSP-17 Sensitive Data Protection; LOG-14 Input Monitoring; LOG-15 Output Monitoring; DSP-22 Privacy Enhancing Technologies</t>
  </si>
  <si>
    <t xml:space="preserve">Art. 10(5) special categories of personal data under strict conditions; Art. 26(9) deployers use provider information for GDPR Art. 35 DPIAs</t>
  </si>
  <si>
    <t xml:space="preserve">A.7.4 Quality of data; A.5.4 impact on individuals or groups; A.7.3 Acquisition of data</t>
  </si>
  <si>
    <t xml:space="preserve">AML.T0057 LLM Data Leakage; AML.T0024.000 Infer Training Data Membership; AML.M0033 Input and Output Validation for AI Agent Components</t>
  </si>
  <si>
    <t xml:space="preserve">MEASURE 2.10 (privacy); MAP 4.1</t>
  </si>
  <si>
    <t xml:space="preserve">LLM02 Sensitive Information Disclosure; LLM05 Improper Output Handling</t>
  </si>
  <si>
    <t xml:space="preserve">C1.1; P4.1; P6.1</t>
  </si>
  <si>
    <t xml:space="preserve">DSP-04 Data Classification; DSP-03 Data Inventory; DSP-05 Data Flow Documentation; DCS-05 Assets Classification</t>
  </si>
  <si>
    <t xml:space="preserve">Art. 10(2) data governance; Art. 26(4) deployers keep input data relevant and representative where under their control</t>
  </si>
  <si>
    <t xml:space="preserve">A.7.2 Data for development and enhancement; A.7.4 Quality of data; A.7.5 Data provenance; A.7.6 Data preparation</t>
  </si>
  <si>
    <t xml:space="preserve">AML.M0005 Control Access to AI Models and Data at Rest; AML.M0019; counters AML.T0036 Data from Information Repositories and AML.T0085 Data from AI Services</t>
  </si>
  <si>
    <t xml:space="preserve">MAP 4.1; MEASURE 2.10; MANAGE 1.2</t>
  </si>
  <si>
    <t xml:space="preserve">MP-4.1 actions; Data Privacy; Intellectual Property</t>
  </si>
  <si>
    <t xml:space="preserve">LLM02 Sensitive Information Disclosure; LLM08 Vector and Embedding Weaknesses (what goes into the index)</t>
  </si>
  <si>
    <t xml:space="preserve">C1.1 (confidential information identified and classified); CC3.2; P3.1</t>
  </si>
  <si>
    <t xml:space="preserve">CEK-03 Data Encryption; CEK-04 Encryption Algorithm; DSP-10 Sensitive Data Transfer; I&amp;S-03 Network Security</t>
  </si>
  <si>
    <t xml:space="preserve">A.6.2.5 AI system deployment; A.10.3 Suppliers</t>
  </si>
  <si>
    <t xml:space="preserve">AML.M0012 Encrypt Sensitive Information; counters AML.T0025 Exfiltration via Cyber Means</t>
  </si>
  <si>
    <t xml:space="preserve">MEASURE 2.7 (security); MEASURE 2.10</t>
  </si>
  <si>
    <t xml:space="preserve">LLM02; ASI07 Insecure Inter-Agent Communication (agent channels encrypted and authenticated)</t>
  </si>
  <si>
    <t xml:space="preserve">CC6.7 (transmission protected); CC6.1</t>
  </si>
  <si>
    <t xml:space="preserve">CEK-03 Data Encryption; CEK-08 Customer Key Management Capability; CEK-12 Key Rotation; DSP-17 Sensitive Data Protection</t>
  </si>
  <si>
    <t xml:space="preserve">Art. 15(5); Art. 10(5) technical safeguards for special categories of personal data</t>
  </si>
  <si>
    <t xml:space="preserve">AML.M0012 Encrypt Sensitive Information; AML.M0005 Control Access to AI Models and Data at Rest; counters AML.T0035 AI Artifact Collection and AML.T0037 Data from Local System</t>
  </si>
  <si>
    <t xml:space="preserve">MEASURE 2.7; MEASURE 2.10</t>
  </si>
  <si>
    <t xml:space="preserve">MS-2.7 actions; MS-2.10 actions</t>
  </si>
  <si>
    <t xml:space="preserve">LLM02; LLM08 (vector store at rest); ASI06 (memory stores)</t>
  </si>
  <si>
    <t xml:space="preserve">CC6.1 (encryption at rest); C1.1; CC6.7</t>
  </si>
  <si>
    <t xml:space="preserve">DSP-15 Limitation of Production Data Use; DSP-22 Privacy Enhancing Technologies; DSP-17 Sensitive Data Protection; LOG-09 Log Protection</t>
  </si>
  <si>
    <t xml:space="preserve">Art. 10(5)(b) pseudonymization and security measures for special categories; Art. 12 (what logs hold)</t>
  </si>
  <si>
    <t xml:space="preserve">A.7.6 Data preparation; A.7.2; A.6.2.8</t>
  </si>
  <si>
    <t xml:space="preserve">AML.M0012 Encrypt Sensitive Information; counters AML.T0057 LLM Data Leakage and AML.T0037 Data from Local System</t>
  </si>
  <si>
    <t xml:space="preserve">MEASURE 2.10 (privacy-enhancing technologies); MAP 4.1</t>
  </si>
  <si>
    <t xml:space="preserve">MS-2.10 actions (de-identification, PETs); Data Privacy</t>
  </si>
  <si>
    <t xml:space="preserve">LLM02; LLM05</t>
  </si>
  <si>
    <t xml:space="preserve">C1.1; CC6.7; P4.1</t>
  </si>
  <si>
    <t xml:space="preserve">DSP-16 Data Retention and Deletion; DSP-02 Secure Disposal; DSP-12 Limitation of Purpose in Personal Data Processing</t>
  </si>
  <si>
    <t xml:space="preserve">Art. 12 and Art. 19 log retention; Art. 26(6); storage limitation under GDPR Art. 5(1)(e), outside the AI Act</t>
  </si>
  <si>
    <t xml:space="preserve">A.7.2; A.7.3 Acquisition of data; A.6.2.8</t>
  </si>
  <si>
    <t xml:space="preserve">AML.M0005 Control Access to AI Models and Data at Rest; reduces exposure to AML.T0035 AI Artifact Collection and AML.T0085 Data from AI Services</t>
  </si>
  <si>
    <t xml:space="preserve">MEASURE 2.10; GOVERN 1.7 (decommissioning); MANAGE 3.1</t>
  </si>
  <si>
    <t xml:space="preserve">MS-2.10 actions; GV-1.7 actions; Data Privacy</t>
  </si>
  <si>
    <t xml:space="preserve">LLM02; ASI06 Memory and Context Poisoning (stale memory retained)</t>
  </si>
  <si>
    <t xml:space="preserve">C1.2 (disposal); P4.2 (retention); P4.3 (disposal)</t>
  </si>
  <si>
    <t xml:space="preserve">STA-10 Primary Service and Contractual Agreement; DSP-12 Limitation of Purpose in Personal Data Processing; DSP-15 Limitation of Production Data Use; DSP-20 Data Provenance and Transparency</t>
  </si>
  <si>
    <t xml:space="preserve">Art. 25(4) written agreements with third-party suppliers; Art. 53(1) GPAI provider duties; Art. 10 provider data governance</t>
  </si>
  <si>
    <t xml:space="preserve">A.10.3 Suppliers; A.7.3 Acquisition of data; A.7.5 Data provenance</t>
  </si>
  <si>
    <t xml:space="preserve">AML.M0025 Maintain AI Dataset Provenance; counters exposure through AML.T0024.000 Infer Training Data Membership</t>
  </si>
  <si>
    <t xml:space="preserve">MAP 4.1 (IP and data rights with third parties); GOVERN 6.1; MANAGE 3.1</t>
  </si>
  <si>
    <t xml:space="preserve">MP-4.1 actions; GV-6.1 actions; Intellectual Property; Data Privacy</t>
  </si>
  <si>
    <t xml:space="preserve">LLM02 Sensitive Information Disclosure (training leakage); LLM03 Supply Chain (terms)</t>
  </si>
  <si>
    <t xml:space="preserve">C1.1; P4.1 (use limited to stated purposes); CC9.2</t>
  </si>
  <si>
    <t xml:space="preserve">DSP-20 Data Provenance and Transparency; AIS-09 Output Validation; GRC-09 Acceptable Use of the AI Service</t>
  </si>
  <si>
    <t xml:space="preserve">Art. 50(2) machine-readable marking of generated content (providers); Art. 50(4) deployers disclose deepfakes and AI-generated public-interest text; marking grace period to 2 December 2026 for systems already on the market</t>
  </si>
  <si>
    <t xml:space="preserve">A.8.2 System documentation and information for users; A.8.5 Information for interested parties; A.9.3</t>
  </si>
  <si>
    <t xml:space="preserve">AML.T0088 Generate Deepfakes; AML.T0052.001 Deepfake-Assisted Phishing; AML.M0034 Deepfake Detection</t>
  </si>
  <si>
    <t xml:space="preserve">MEASURE 2.8 (transparency); MAP 5.2 (engaging users)</t>
  </si>
  <si>
    <t xml:space="preserve">MS-2.8 actions; Information Integrity</t>
  </si>
  <si>
    <t xml:space="preserve">PI1.4 (outputs); CC2.3 (external communication)</t>
  </si>
  <si>
    <t xml:space="preserve">SEF-07 Security Breach Notification; DSP-18 Disclosure Notification; SEF-03 Incident Response Plans; SEF-08 Points of Contact Maintenance</t>
  </si>
  <si>
    <t xml:space="preserve">Art. 73 serious incident reporting (providers); Art. 26(5) deployers inform the provider, importer or distributor and market surveillance authority; Art. 20 corrective actions and duty of information</t>
  </si>
  <si>
    <t xml:space="preserve">A.8.4 Communication of incidents; A.8.3 External reporting; A.8.5</t>
  </si>
  <si>
    <t xml:space="preserve">No mitigation; the process that follows AML.T0048 External Harms (.001 Reputational, .003 User Harm)</t>
  </si>
  <si>
    <t xml:space="preserve">MANAGE 4.3 (incidents and errors communicated); GOVERN 4.3</t>
  </si>
  <si>
    <t xml:space="preserve">MG-4.3 actions; GV-4.3 actions</t>
  </si>
  <si>
    <t xml:space="preserve">Cross-cutting; ASI09 (trust repair); LLM09</t>
  </si>
  <si>
    <t xml:space="preserve">CC7.4 (incident response and communication); CC7.5; CC2.3; P6.6 (breach notification)</t>
  </si>
  <si>
    <t xml:space="preserve">IAM-05 Least Privilege; IAM-16 Authorization Mechanisms; IAM-19 Agent Access Restriction; IAM-03 Identity Inventory</t>
  </si>
  <si>
    <t xml:space="preserve">Art. 15(5) access control as part of cybersecurity</t>
  </si>
  <si>
    <t xml:space="preserve">A.6.2.5 AI system deployment; A.4.5; A.9.2</t>
  </si>
  <si>
    <t xml:space="preserve">AML.T0012 Valid Accounts; AML.T0091 Use Alternate Authentication Material; AML.M0026 Privileged AI Agent Permissions Configuration; AML.M0028 AI Agent Tools Permissions Configuration; AML.M0019</t>
  </si>
  <si>
    <t xml:space="preserve">MEASURE 2.7; MAP 2.1; MANAGE 1.3</t>
  </si>
  <si>
    <t xml:space="preserve">LLM06 Excessive Agency; ASI03 Identity and Privilege Abuse</t>
  </si>
  <si>
    <t xml:space="preserve">CC6.1, CC6.2, CC6.3</t>
  </si>
  <si>
    <t xml:space="preserve">IAM-15 Passwords and Secrets Management; CEK-21 Key Inventory Management; AIS-12 Source Code Management</t>
  </si>
  <si>
    <t xml:space="preserve">Art. 15(5)</t>
  </si>
  <si>
    <t xml:space="preserve">A.6.2.5 AI system deployment; A.4.5</t>
  </si>
  <si>
    <t xml:space="preserve">AML.T0055 Unsecured Credentials; AML.T0083 Credentials from AI Agent Configuration; AML.T0082 RAG Credential Harvesting; AML.T0098 AI Agent Tool Credential Harvesting; AML.M0012 Encrypt Sensitive Information; AML.M0005</t>
  </si>
  <si>
    <t xml:space="preserve">MEASURE 2.7</t>
  </si>
  <si>
    <t xml:space="preserve">LLM02 (secrets in prompts or context); LLM07 System Prompt Leakage; ASI03</t>
  </si>
  <si>
    <t xml:space="preserve">CC6.1, CC6.2, CC6.7</t>
  </si>
  <si>
    <t xml:space="preserve">CEK-12 Key Rotation; IAM-15 Passwords and Secrets Management; IAM-07 User Access Changes and Revocation</t>
  </si>
  <si>
    <t xml:space="preserve">A.6.2.6 AI system operation and monitoring; A.6.2.5</t>
  </si>
  <si>
    <t xml:space="preserve">Limits the window on AML.T0012 Valid Accounts, AML.T0055 Unsecured Credentials and AML.T0091 Use Alternate Authentication Material</t>
  </si>
  <si>
    <t xml:space="preserve">MS-2.7 actions</t>
  </si>
  <si>
    <t xml:space="preserve">ASI03 Identity and Privilege Abuse</t>
  </si>
  <si>
    <t xml:space="preserve">IAM-14 Strong Authentication; IAM-16 Authorization Mechanisms; IAM-10 Management of Privileged Access Roles</t>
  </si>
  <si>
    <t xml:space="preserve">A.6.2.5 AI system deployment</t>
  </si>
  <si>
    <t xml:space="preserve">AML.T0091.000 Application Access Token; AML.T0113 Steal Web Session Cookie; AML.T0012; AML.M0026 Privileged AI Agent Permissions Configuration</t>
  </si>
  <si>
    <t xml:space="preserve">ASI03 Identity and Privilege Abuse; LLM06</t>
  </si>
  <si>
    <t xml:space="preserve">CC6.1, CC6.2</t>
  </si>
  <si>
    <t xml:space="preserve">IAM-13 Uniquely Identifiable Users; IAM-14 Strong Authentication; IAM-19 Agent Access Restriction; IAM-03 Identity Inventory</t>
  </si>
  <si>
    <t xml:space="preserve">AML.T0073 Impersonation; AML.T0074 Masquerading; AML.T0118 Autonomous AI Agent Communication; AML.M0032 Segmentation of AI Agent Components; AML.M0026</t>
  </si>
  <si>
    <t xml:space="preserve">MEASURE 2.7; MANAGE 1.3</t>
  </si>
  <si>
    <t xml:space="preserve">ASI03 Identity and Privilege Abuse; ASI07 Insecure Inter-Agent Communication; ASI10 Rogue Agents</t>
  </si>
  <si>
    <t xml:space="preserve">CC6.1, CC6.6, CC6.7</t>
  </si>
  <si>
    <t xml:space="preserve">IAM-19 Agent Access Restriction; AIS-11 Agents Security Boundaries; IAM-16 Authorization Mechanisms; GRC-15 Human supervision</t>
  </si>
  <si>
    <t xml:space="preserve">Art. 14(4) human oversight (override, decide not to use, interrupt)</t>
  </si>
  <si>
    <t xml:space="preserve">A.9.2 Processes for responsible use; A.9.4 Intended use; A.6.2.6</t>
  </si>
  <si>
    <t xml:space="preserve">AML.T0053 AI Agent Tool Invocation; AML.T0051 LLM Prompt Injection (goal hijack); AML.M0030 Restrict AI Agent Tool Invocation on Untrusted Data; AML.M0037 AI Agent Authority Expansion Controls; AML.M0038 AI Agent Scope Drift Detection</t>
  </si>
  <si>
    <t xml:space="preserve">MAP 3.5 (human oversight); MANAGE 2.4; MEASURE 2.6</t>
  </si>
  <si>
    <t xml:space="preserve">MG-2.4 actions; MS-2.6 actions; Human-AI Configuration</t>
  </si>
  <si>
    <t xml:space="preserve">ASI01 Agent Goal Hijack; ASI02 Tool Misuse; LLM06 Excessive Agency</t>
  </si>
  <si>
    <t xml:space="preserve">CC5.2; CC6.1; PI1.2</t>
  </si>
  <si>
    <t xml:space="preserve">IAM-19 Agent Access Restriction; IAM-16 Authorization Mechanisms; AIS-10 API Security; LOG-11 Transaction/Activity Logging; AIS-11 Agents Security Boundaries</t>
  </si>
  <si>
    <t xml:space="preserve">Art. 15(5); Art. 12 record-keeping; Art. 14(4)(d)</t>
  </si>
  <si>
    <t xml:space="preserve">A.6.2.5; A.6.2.8 recording of event logs; A.9.4 Intended use</t>
  </si>
  <si>
    <t xml:space="preserve">AML.T0053 AI Agent Tool Invocation; AML.T0086 Exfiltration via AI Agent Tool Invocation; AML.T0101 Data Destruction via AI Agent Tool Invocation; AML.M0028 AI Agent Tools Permissions Configuration; AML.M0030; AML.M0024</t>
  </si>
  <si>
    <t xml:space="preserve">MEASURE 2.7; MANAGE 2.4; MAP 3.5</t>
  </si>
  <si>
    <t xml:space="preserve">MS-2.7 actions; MG-2.4 actions</t>
  </si>
  <si>
    <t xml:space="preserve">ASI02 Tool Misuse; LLM06 Excessive Agency; ASI03</t>
  </si>
  <si>
    <t xml:space="preserve">CC6.1, CC6.3; CC7.2</t>
  </si>
  <si>
    <t xml:space="preserve">AIS-11 Agents Security Boundaries; IAM-19 Agent Access Restriction; I&amp;S-02 Capacity and Resource Planning; IAM-03 Identity Inventory</t>
  </si>
  <si>
    <t xml:space="preserve">Art. 14 human oversight; Art. 15(1) robustness; Art. 12</t>
  </si>
  <si>
    <t xml:space="preserve">A.6.2.5; A.6.2.6; A.9.4</t>
  </si>
  <si>
    <t xml:space="preserve">AML.T0103 Deploy AI Agent; AML.T0108 AI Agent (as an adversary resource); AML.T0124 Autonomous Attack Orchestration; AML.T0034.002 Agentic Resource Consumption; AML.M0037 AI Agent Authority Expansion Controls; AML.M0036</t>
  </si>
  <si>
    <t xml:space="preserve">MANAGE 2.4; MEASURE 2.7; MANAGE 2.2</t>
  </si>
  <si>
    <t xml:space="preserve">MG-2.4 actions; MG-2.2 actions</t>
  </si>
  <si>
    <t xml:space="preserve">ASI10 Rogue Agents; ASI08 Cascading Failures; LLM06; LLM10</t>
  </si>
  <si>
    <t xml:space="preserve">CC6.1; A1.1; CC7.2</t>
  </si>
  <si>
    <t xml:space="preserve">GRC-15 Human supervision; IAM-18 Output Modification and Special Authorization; AIS-11 Agents Security Boundaries; CCC-04 Change Authorization</t>
  </si>
  <si>
    <t xml:space="preserve">Art. 14(1) to (4) human oversight: override, interrupt, stop; Art. 26(2) deployers assign oversight</t>
  </si>
  <si>
    <t xml:space="preserve">A.9.2 Processes for responsible use; A.9.3 Objectives for responsible use; A.6.2.6</t>
  </si>
  <si>
    <t xml:space="preserve">AML.M0029 Human In-the-Loop for AI Agent Actions; AML.M0037; counters AML.T0101 Data Destruction via AI Agent Tool Invocation, AML.T0086 and AML.T0048 External Harms</t>
  </si>
  <si>
    <t xml:space="preserve">GOVERN 3.2 (human-AI configuration and oversight roles); MAP 3.5 (human oversight); MANAGE 2.4; MANAGE 1.3</t>
  </si>
  <si>
    <t xml:space="preserve">GV-3.2 actions; MG-2.4 actions; Human-AI Configuration</t>
  </si>
  <si>
    <t xml:space="preserve">ASI02 Tool Misuse; ASI10 Rogue Agents; LLM06 Excessive Agency; ASI09</t>
  </si>
  <si>
    <t xml:space="preserve">CC5.2; CC6.1; PI1.3</t>
  </si>
  <si>
    <t xml:space="preserve">AIS-11 Agents Security Boundaries; I&amp;S-06 Segmentation and Segregation; IAM-19 Agent Access Restriction; AIS-10 API Security</t>
  </si>
  <si>
    <t xml:space="preserve">Art. 15(5); Art. 14(4)</t>
  </si>
  <si>
    <t xml:space="preserve">A.6.2.3 Documentation of AI system design and development; A.6.2.5; A.10.2 Allocating responsibilities</t>
  </si>
  <si>
    <t xml:space="preserve">AML.T0118 Autonomous AI Agent Communication (.000 Shared Artifacts, .001 Direct); AML.T0080 AI Agent Context Poisoning; AML.M0032 Segmentation of AI Agent Components; AML.M0033 Input and Output Validation for AI Agent Components</t>
  </si>
  <si>
    <t xml:space="preserve">MEASURE 2.7; MAP 3.3; MANAGE 2.4</t>
  </si>
  <si>
    <t xml:space="preserve">ASI07 Insecure Inter-Agent Communication; ASI08 Cascading Failures; ASI10 Rogue Agents; LLM06</t>
  </si>
  <si>
    <t xml:space="preserve">AIS-13 AI Sandboxing; I&amp;S-04 OS Hardening and Base Controls; I&amp;S-06 Segmentation and Segregation; TVM-02 Malware and Malicious Instructions Protection</t>
  </si>
  <si>
    <t xml:space="preserve">AML.T0050 Command and Scripting Interpreter; AML.T0105 Escape to Host; AML.T0097 Virtualization/Sandbox Evasion; AML.T0112 Machine Compromise; AML.M0011 Restrict Library Loading; AML.M0032</t>
  </si>
  <si>
    <t xml:space="preserve">ASI05 Unexpected Code Execution; ASI02 Tool Misuse; LLM05 Improper Output Handling (code executed)</t>
  </si>
  <si>
    <t xml:space="preserve">CC6.1, CC6.6, CC6.8; CC7.1</t>
  </si>
  <si>
    <t xml:space="preserve">AIS-14 AI Cache Protection; DSP-21 Data Poisoning Prevention &amp; Detection; DSP-17 Sensitive Data Protection; IAM-17 Knowledge Access Control - Need to Know</t>
  </si>
  <si>
    <t xml:space="preserve">Art. 15(5); Art. 12 (memory writes logged)</t>
  </si>
  <si>
    <t xml:space="preserve">A.7.4 Quality of data; A.7.6 Data preparation; A.6.2.6</t>
  </si>
  <si>
    <t xml:space="preserve">AML.T0080 AI Agent Context Poisoning (.000 Memory, .001 Thread); AML.T0092 Manipulate User LLM Chat History; AML.T0094 Delay Execution of LLM Instructions; AML.M0031 Memory Hardening; AML.M0027 Single-User AI Agent Permissions Configuration</t>
  </si>
  <si>
    <t xml:space="preserve">MEASURE 2.7; MEASURE 2.10; MANAGE 2.4</t>
  </si>
  <si>
    <t xml:space="preserve">MS-2.7 actions; MS-2.10 actions; Information Security; Data Privacy</t>
  </si>
  <si>
    <t xml:space="preserve">ASI06 Memory and Context Poisoning; LLM08 Vector and Embedding Weaknesses; LLM02</t>
  </si>
  <si>
    <t xml:space="preserve">CC6.1; C1.1; PI1.2</t>
  </si>
  <si>
    <t xml:space="preserve">MDS-03 Model Documentation; MDS-09 Model Signing/Ownership Verification; DSP-20 Data Provenance and Transparency; STA-16 Service BOM</t>
  </si>
  <si>
    <t xml:space="preserve">Art. 11 technical documentation (Annex IV); Art. 13 information to deployers; Art. 53(1)(a) and (b) GPAI documentation; Art. 25</t>
  </si>
  <si>
    <t xml:space="preserve">A.6.2.7 AI system technical documentation; A.4.2 Resource documentation; A.10.3 Suppliers</t>
  </si>
  <si>
    <t xml:space="preserve">AML.T0010.003 AI Supply Chain Compromise: Model; AML.T0115.001 Publish Poisoned AI Artifacts: Models; AML.T0111 AI Supply Chain Reputation Inflation; AML.M0023 AI Bill of Materials; AML.M0014 Verify AI Artifacts</t>
  </si>
  <si>
    <t xml:space="preserve">GOVERN 6.1; MAP 4.1; MANAGE 3.2 (pre-trained models monitored)</t>
  </si>
  <si>
    <t xml:space="preserve">GV-6.1 actions; MG-3.2 actions; Value Chain and Component Integration</t>
  </si>
  <si>
    <t xml:space="preserve">LLM03 Supply Chain; LLM04 Data and Model Poisoning; ASI04</t>
  </si>
  <si>
    <t xml:space="preserve">CC9.2; CC8.1; CC6.8</t>
  </si>
  <si>
    <t xml:space="preserve">CCC-06 Change Management Baseline; CCC-01 Change Management Policy; CCC-04 Change Authorization; MDS-03 Model Documentation</t>
  </si>
  <si>
    <t xml:space="preserve">Art. 3(23) and Art. 43(4) substantial modification triggers a new conformity assessment; Art. 25(1)(c); Art. 17 QMS change control</t>
  </si>
  <si>
    <t xml:space="preserve">A.6.2.5 AI system deployment; A.6.2.6; 8.1 Operational planning and control</t>
  </si>
  <si>
    <t xml:space="preserve">AML.T0109 AI Supply Chain Rug Pull; AML.T0010.003; AML.T0076 Corrupt AI Model; AML.M0014 Verify AI Artifacts; AML.M0017 AI Model Distribution Methods</t>
  </si>
  <si>
    <t xml:space="preserve">MANAGE 3.2 (pre-trained models monitored); MANAGE 4.1; GOVERN 1.5</t>
  </si>
  <si>
    <t xml:space="preserve">MG-3.2 actions; MG-4.1 actions</t>
  </si>
  <si>
    <t xml:space="preserve">LLM03; LLM04; ASI04</t>
  </si>
  <si>
    <t xml:space="preserve">CC8.1 (change management); CC7.1; CC6.8</t>
  </si>
  <si>
    <t xml:space="preserve">CCC-09 Change Restoration; MDS-11 Model Failure; BCR-08 Backup; BCR-04 Business Continuity Planning</t>
  </si>
  <si>
    <t xml:space="preserve">Art. 15(4) redundancy and fail-safe plans; Art. 20 corrective actions (withdraw, disable, recall)</t>
  </si>
  <si>
    <t xml:space="preserve">A.6.2.6 AI system operation and monitoring; A.8.4; 10.2 nonconformity and corrective action</t>
  </si>
  <si>
    <t xml:space="preserve">No mitigation of its own; the recovery path for AML.T0031 Erode AI Model Integrity, AML.T0076 Corrupt AI Model and AML.T0109 AI Supply Chain Rug Pull</t>
  </si>
  <si>
    <t xml:space="preserve">MANAGE 2.4 (supersede, disengage, deactivate); MANAGE 4.1; MANAGE 2.3</t>
  </si>
  <si>
    <t xml:space="preserve">MG-2.4 actions; MG-4.1 actions</t>
  </si>
  <si>
    <t xml:space="preserve">LLM03; LLM04; ASI08 Cascading Failures</t>
  </si>
  <si>
    <t xml:space="preserve">A1.2, A1.3; CC8.1; CC7.5</t>
  </si>
  <si>
    <t xml:space="preserve">DSP-20 Data Provenance and Transparency; DSP-05 Data Flow Documentation; MDS-01 Training Pipeline Security; MDS-04 Model Documentation Requirements</t>
  </si>
  <si>
    <t xml:space="preserve">Art. 10(2) data governance (origin, collection, preparation); Art. 11 and Annex IV datasheets; Art. 53(1)(c) and (d) GPAI copyright policy and training content summary</t>
  </si>
  <si>
    <t xml:space="preserve">A.7.5 Data provenance; A.7.3 Acquisition of data; A.7.2; A.7.4</t>
  </si>
  <si>
    <t xml:space="preserve">AML.T0020 Training Data Poisoning; AML.T0010.002 AI Supply Chain Compromise: Data; AML.T0059 Erode Dataset Integrity; AML.M0025 Maintain AI Dataset Provenance; AML.M0007 Sanitize Training Data</t>
  </si>
  <si>
    <t xml:space="preserve">MAP 4.1 (IP and data rights); MEASURE 2.1 (datasets documented); MANAGE 3.2</t>
  </si>
  <si>
    <t xml:space="preserve">MP-4.1 actions; MS-2.1 actions; Intellectual Property; Data Privacy</t>
  </si>
  <si>
    <t xml:space="preserve">LLM04 Data and Model Poisoning; LLM03</t>
  </si>
  <si>
    <t xml:space="preserve">CC9.2; C1.1; P3.1</t>
  </si>
  <si>
    <t xml:space="preserve">DSP-12 Limitation of Purpose in Personal Data Processing; DSP-08 Data Privacy by Design and Default; DSP-11 Personal Data Access, Reversal, Rectification and Deletion; DSP-20</t>
  </si>
  <si>
    <t xml:space="preserve">Art. 10(5) special categories under strict conditions; the lawful basis itself is GDPR Art. 6 and 9, outside the AI Act</t>
  </si>
  <si>
    <t xml:space="preserve">A.7.3 Acquisition of data; A.5.4; A.8.5 Information for interested parties</t>
  </si>
  <si>
    <t xml:space="preserve">AML.M0025 Maintain AI Dataset Provenance; reduces exposure through AML.T0024.000 Infer Training Data Membership</t>
  </si>
  <si>
    <t xml:space="preserve">MAP 4.1; MEASURE 2.10</t>
  </si>
  <si>
    <t xml:space="preserve">LLM02; LLM04</t>
  </si>
  <si>
    <t xml:space="preserve">P2.1 (choice and consent); P3.1; P4.1</t>
  </si>
  <si>
    <t xml:space="preserve">MDS-01 Training Pipeline Security; AIS-04 Secure Application Development Lifecycle; AIS-06 Secure Application Deployment; AIS-12 Source Code Management; CCC-03 Change Management Technology</t>
  </si>
  <si>
    <t xml:space="preserve">Art. 15(5); Art. 17 QMS (design, development and quality control procedures); Art. 9</t>
  </si>
  <si>
    <t xml:space="preserve">A.6.1.3 Processes for responsible design and development; A.6.2.3; A.6.2.5; A.4.4 Tooling resources</t>
  </si>
  <si>
    <t xml:space="preserve">AML.T0010.001 AI Supply Chain Compromise: AI Software; AML.T0010.004 Container Registry; AML.T0119 Exploit Automated Artifact Processing Pipeline; AML.T0018 Manipulate AI Model; AML.M0013 Code Signing; AML.M0014 Verify AI Artifacts; AML.M0016 Vulnerability Scanning</t>
  </si>
  <si>
    <t xml:space="preserve">MEASURE 2.7; MANAGE 3.2; GOVERN 1.4</t>
  </si>
  <si>
    <t xml:space="preserve">MS-2.7 actions; GV-6.1 actions; Information Security; Value Chain and Component Integration</t>
  </si>
  <si>
    <t xml:space="preserve">LLM03; LLM04; ASI04; ASI05</t>
  </si>
  <si>
    <t xml:space="preserve">CC8.1; CC6.1; CC6.8; CC7.1</t>
  </si>
  <si>
    <t xml:space="preserve">MDS-08 Model Integrity Checks; MDS-09 Model Signing/Ownership Verification; MDS-13 Secure Model Format; MDS-02 Model Artifact Scanning; DSP-23 Data Integrity Check</t>
  </si>
  <si>
    <t xml:space="preserve">Art. 15(5) (model poisoning and adversarial manipulation named); Art. 11; Art. 43 conformity assessment</t>
  </si>
  <si>
    <t xml:space="preserve">A.6.2.4 AI system verification and validation; A.6.2.5; A.10.3</t>
  </si>
  <si>
    <t xml:space="preserve">AML.T0010.003 Model; AML.T0018.002 Embed Malware; AML.T0011.000 Unsafe AI Artifacts; AML.T0115.001; AML.M0014 Verify AI Artifacts; AML.M0013 Code Signing; AML.M0008 Validate AI Model</t>
  </si>
  <si>
    <t xml:space="preserve">MANAGE 3.2; MEASURE 2.7; MAP 4.2</t>
  </si>
  <si>
    <t xml:space="preserve">MG-3.2 actions; MS-2.7 actions; Value Chain and Component Integration</t>
  </si>
  <si>
    <t xml:space="preserve">CC6.8 (unauthorized or malicious software); CC8.1; CC7.1</t>
  </si>
  <si>
    <t xml:space="preserve">MDS-12 Open Model Risk Assessment; STA-09 Supply Chain Risk Management; STA-15 Supply Chain Data Security Assessment; MDS-05 Model Documentation Validation; GRC-11 Bias and Fairness Assessment</t>
  </si>
  <si>
    <t xml:space="preserve">Art. 25 value chain; Art. 53 GPAI provider obligations and Annex XII documentation to downstream providers; Art. 55 systemic-risk GPAI; Art. 26(1)</t>
  </si>
  <si>
    <t xml:space="preserve">A.10.3 Suppliers; A.10.2; A.6.2.4; A.5.2</t>
  </si>
  <si>
    <t xml:space="preserve">AML.T0010.003; AML.T0111 AI Supply Chain Reputation Inflation; AML.T0115.001; AML.M0008 Validate AI Model; AML.M0014; AML.M0023</t>
  </si>
  <si>
    <t xml:space="preserve">GOVERN 6.1; MAP 4.1; MAP 4.2; MANAGE 3.1; MANAGE 3.2</t>
  </si>
  <si>
    <t xml:space="preserve">GV-6.1 actions; MG-3.2 actions; Value Chain and Component Integration; Intellectual Property</t>
  </si>
  <si>
    <t xml:space="preserve">CC9.2; CC3.2; CC3.4</t>
  </si>
  <si>
    <t xml:space="preserve">STA-16 Service BOM; STA-08 Supply Chain Inventory; AIS-05 Application Security Testing; TVM-05 External Library Vulnerabilities; UEM-02 Application and Service Approval</t>
  </si>
  <si>
    <t xml:space="preserve">Art. 25 value chain; Art. 15(5); Art. 26(1)</t>
  </si>
  <si>
    <t xml:space="preserve">A.4.4 Tooling resources; A.10.3 Suppliers; A.6.2.4</t>
  </si>
  <si>
    <t xml:space="preserve">AML.T0010.005 AI Supply Chain Compromise: AI Agent Tool; AML.T0110 AI Agent Tool Poisoning (.000 Definition and Instructions, .001 Implementation, .002 Runtime Response); AML.T0011.002 Poisoned AI Agent Tool; AML.T0115.002; AML.T0099 AI Agent Tool Data Poisoning; AML.M0014 Verify AI Artifacts; AML.M0013 Code Signing; AML.M0028; AML.M0023</t>
  </si>
  <si>
    <t xml:space="preserve">GOVERN 6.1; MAP 4.2; MANAGE 3.1; MEASURE 2.7</t>
  </si>
  <si>
    <t xml:space="preserve">GV-6.1 actions; MS-2.7 actions; Value Chain and Component Integration</t>
  </si>
  <si>
    <t xml:space="preserve">ASI04 Agentic Supply Chain Vulnerabilities; LLM03; ASI02</t>
  </si>
  <si>
    <t xml:space="preserve">CC6.8; CC9.2; CC8.1</t>
  </si>
  <si>
    <t xml:space="preserve">DSP-21 Data Poisoning Prevention &amp; Detection; IAM-17 Knowledge Access Control - Need to Know; DSP-17; DSP-23 Data Integrity Check; IAM-05 Least Privilege</t>
  </si>
  <si>
    <t xml:space="preserve">Art. 10 data governance; Art. 15(5) (data poisoning named); Art. 12</t>
  </si>
  <si>
    <t xml:space="preserve">A.7.4 Quality of data; A.7.5 Data provenance; A.6.2.5; A.6.2.6</t>
  </si>
  <si>
    <t xml:space="preserve">AML.T0070 RAG Poisoning; AML.T0071 False RAG Entry Injection; AML.T0064 Gather RAG-Indexed Targets; AML.T0066 Retrieval Content Crafting; AML.T0082 RAG Credential Harvesting; AML.T0085.000 Data from AI Services: RAG Databases; AML.M0005; AML.M0019; AML.M0033</t>
  </si>
  <si>
    <t xml:space="preserve">MEASURE 2.7; MEASURE 2.10; MAP 4.2</t>
  </si>
  <si>
    <t xml:space="preserve">MS-2.7 actions; Information Security; Data Privacy</t>
  </si>
  <si>
    <t xml:space="preserve">LLM08 Vector and Embedding Weaknesses; LLM04; LLM02; ASI06</t>
  </si>
  <si>
    <t xml:space="preserve">CC6.1, CC6.3; PI1.2; C1.1</t>
  </si>
  <si>
    <t xml:space="preserve">AIS-15 Prompt Differentiation; IAM-15 Passwords and Secrets Management; AIS-02 Application Security Baseline Requirements; TVM-11 Guardrails</t>
  </si>
  <si>
    <t xml:space="preserve">Art. 15(5); Art. 11 (documentation of the instructions a system runs on)</t>
  </si>
  <si>
    <t xml:space="preserve">A.6.2.3 Documentation of AI system design and development; A.6.2.5</t>
  </si>
  <si>
    <t xml:space="preserve">AML.T0056 Extract LLM System Prompt; AML.T0069 Discover LLM System Information (.000 to .002); AML.T0084 Discover AI Agent Configuration (.000 to .003); AML.T0083 Credentials from AI Agent Configuration; AML.M0020 Generative AI Guardrails; AML.M0000 Limit Public Release of Information</t>
  </si>
  <si>
    <t xml:space="preserve">LLM07 System Prompt Leakage; LLM01; ASI01</t>
  </si>
  <si>
    <t xml:space="preserve">CC6.1; C1.1; CC6.7</t>
  </si>
  <si>
    <t xml:space="preserve">DSP-23 Data Integrity Check; DSP-21 Data Poisoning Prevention &amp; Detection; MDS-01 Training Pipeline Security; CCC-07 Detection of Baseline Deviation</t>
  </si>
  <si>
    <t xml:space="preserve">Art. 10; Art. 15(5); Art. 12</t>
  </si>
  <si>
    <t xml:space="preserve">A.7.4 Quality of data; A.7.6 Data preparation; A.6.2.4</t>
  </si>
  <si>
    <t xml:space="preserve">AML.T0070 RAG Poisoning; AML.T0010.002 Data; AML.T0059 Erode Dataset Integrity; AML.T0099 AI Agent Tool Data Poisoning; AML.M0014 Verify AI Artifacts; AML.M0025; AML.M0007</t>
  </si>
  <si>
    <t xml:space="preserve">MEASURE 2.7; MEASURE 2.5; MANAGE 3.2</t>
  </si>
  <si>
    <t xml:space="preserve">MS-2.7 actions; MS-2.5 actions; Information Integrity</t>
  </si>
  <si>
    <t xml:space="preserve">LLM08; LLM04; ASI06</t>
  </si>
  <si>
    <t xml:space="preserve">PI1.2, PI1.3; CC6.1; CC8.1</t>
  </si>
  <si>
    <t xml:space="preserve">LOG-11 Transaction/Activity Logging; IAM-12 Safeguard Logs Integrity; LOG-02 Audit Logs Protection; IAM-19 Agent Access Restriction</t>
  </si>
  <si>
    <t xml:space="preserve">Art. 12 record-keeping (traceability); Art. 14; Art. 19</t>
  </si>
  <si>
    <t xml:space="preserve">A.6.2.8 AI system recording of event logs; A.6.2.6; A.8.4</t>
  </si>
  <si>
    <t xml:space="preserve">AML.M0024 AI Telemetry Logging; AML.M0029 Human In-the-Loop for AI Agent Actions; AML.M0013 Code Signing; non-repudiation against AML.T0074 Masquerading, AML.T0101 and AML.T0053</t>
  </si>
  <si>
    <t xml:space="preserve">MEASURE 2.8 (accountability); MANAGE 4.1</t>
  </si>
  <si>
    <t xml:space="preserve">MS-2.8 actions; MG-4.1 actions</t>
  </si>
  <si>
    <t xml:space="preserve">ASI10 Rogue Agents; ASI03; ASI07; LLM06</t>
  </si>
  <si>
    <t xml:space="preserve">CC7.2; CC4.1; CC6.1</t>
  </si>
  <si>
    <t xml:space="preserve">3. OWASP quick reference</t>
  </si>
  <si>
    <t xml:space="preserve">The LLM Top 10 applies to any model-backed application. Add the Agentic Top 10 when the agentic flag is set.</t>
  </si>
  <si>
    <t xml:space="preserve">Key guardrails</t>
  </si>
  <si>
    <t xml:space="preserve">What it is</t>
  </si>
  <si>
    <t xml:space="preserve">LLM01</t>
  </si>
  <si>
    <t xml:space="preserve">Prompt Injection</t>
  </si>
  <si>
    <t xml:space="preserve">RUN-01, RUN-05, RUN-06, SUP-11</t>
  </si>
  <si>
    <t xml:space="preserve">Direct or indirect manipulation of prompts to change behavior or bypass controls</t>
  </si>
  <si>
    <t xml:space="preserve">LLM02</t>
  </si>
  <si>
    <t xml:space="preserve">Sensitive Information Disclosure</t>
  </si>
  <si>
    <t xml:space="preserve">DAT-01, DAT-02, DAT-06, RUN-02, RUN-08</t>
  </si>
  <si>
    <t xml:space="preserve">PII, secrets or confidential data leaving through outputs, logs or memory</t>
  </si>
  <si>
    <t xml:space="preserve">LLM03</t>
  </si>
  <si>
    <t xml:space="preserve">Supply Chain</t>
  </si>
  <si>
    <t xml:space="preserve">POS-06, SUP-01, SUP-07, SUP-08, SUP-09</t>
  </si>
  <si>
    <t xml:space="preserve">Compromised models, datasets, packages, plugins or MCP servers</t>
  </si>
  <si>
    <t xml:space="preserve">LLM04</t>
  </si>
  <si>
    <t xml:space="preserve">Data and Model Poisoning</t>
  </si>
  <si>
    <t xml:space="preserve">SUP-04, SUP-07, SUP-10, SUP-12, OBS-05</t>
  </si>
  <si>
    <t xml:space="preserve">Manipulated training, fine-tuning or retrieval data that corrupts behavior</t>
  </si>
  <si>
    <t xml:space="preserve">LLM05</t>
  </si>
  <si>
    <t xml:space="preserve">Improper Output Handling</t>
  </si>
  <si>
    <t xml:space="preserve">RUN-02, RUN-05, NHI-11</t>
  </si>
  <si>
    <t xml:space="preserve">Model output passed to downstream systems without validation</t>
  </si>
  <si>
    <t xml:space="preserve">LLM06</t>
  </si>
  <si>
    <t xml:space="preserve">Excessive Agency</t>
  </si>
  <si>
    <t xml:space="preserve">NHI-01, NHI-06, NHI-07, NHI-09, OBS-08</t>
  </si>
  <si>
    <t xml:space="preserve">Agents with more permissions, autonomy or tools than the task needs</t>
  </si>
  <si>
    <t xml:space="preserve">LLM07</t>
  </si>
  <si>
    <t xml:space="preserve">System Prompt Leakage</t>
  </si>
  <si>
    <t xml:space="preserve">SUP-11, RUN-01, NHI-02</t>
  </si>
  <si>
    <t xml:space="preserve">Exposure of system prompts, instructions or embedded secrets</t>
  </si>
  <si>
    <t xml:space="preserve">LLM08</t>
  </si>
  <si>
    <t xml:space="preserve">Vector and Embedding Weaknesses</t>
  </si>
  <si>
    <t xml:space="preserve">SUP-10, SUP-12, DAT-03, NHI-12</t>
  </si>
  <si>
    <t xml:space="preserve">RAG and embedding stores poisoned, over-shared or inverted</t>
  </si>
  <si>
    <t xml:space="preserve">LLM09</t>
  </si>
  <si>
    <t xml:space="preserve">Misinformation</t>
  </si>
  <si>
    <t xml:space="preserve">RUN-02, OBS-05, OBS-07, DAT-09</t>
  </si>
  <si>
    <t xml:space="preserve">Hallucinated or misleading output acted on as fact</t>
  </si>
  <si>
    <t xml:space="preserve">LLM10</t>
  </si>
  <si>
    <t xml:space="preserve">Unbounded Consumption</t>
  </si>
  <si>
    <t xml:space="preserve">RUN-03, RUN-04, SHA-04, NHI-08</t>
  </si>
  <si>
    <t xml:space="preserve">Resource exhaustion, cost abuse and model extraction through volume</t>
  </si>
  <si>
    <t xml:space="preserve">ASI01</t>
  </si>
  <si>
    <t xml:space="preserve">Agent Goal Hijack</t>
  </si>
  <si>
    <t xml:space="preserve">RUN-01, NHI-06, SUP-11, OBS-06</t>
  </si>
  <si>
    <t xml:space="preserve">The agent's objective or plan is redirected, usually through injected input</t>
  </si>
  <si>
    <t xml:space="preserve">ASI02</t>
  </si>
  <si>
    <t xml:space="preserve">Tool Misuse</t>
  </si>
  <si>
    <t xml:space="preserve">NHI-07, NHI-06, NHI-09, RUN-07</t>
  </si>
  <si>
    <t xml:space="preserve">A legitimate tool used with parameters, targets or sequences it was not authorized for</t>
  </si>
  <si>
    <t xml:space="preserve">ASI03</t>
  </si>
  <si>
    <t xml:space="preserve">Identity and Privilege Abuse</t>
  </si>
  <si>
    <t xml:space="preserve">NHI-01, NHI-02, NHI-04, NHI-05</t>
  </si>
  <si>
    <t xml:space="preserve">Agent credentials or delegated permissions reused, escalated or impersonated</t>
  </si>
  <si>
    <t xml:space="preserve">ASI04</t>
  </si>
  <si>
    <t xml:space="preserve">Agentic Supply Chain Vulnerabilities</t>
  </si>
  <si>
    <t xml:space="preserve">SUP-09, SUP-08, SUP-01, POS-06</t>
  </si>
  <si>
    <t xml:space="preserve">Frameworks, tools, MCP servers and components bringing exposure into the deployment</t>
  </si>
  <si>
    <t xml:space="preserve">ASI05</t>
  </si>
  <si>
    <t xml:space="preserve">Unexpected Code Execution</t>
  </si>
  <si>
    <t xml:space="preserve">NHI-11, SUP-06, OBS-06</t>
  </si>
  <si>
    <t xml:space="preserve">Code runs beyond the sandbox or the intended boundary</t>
  </si>
  <si>
    <t xml:space="preserve">ASI06</t>
  </si>
  <si>
    <t xml:space="preserve">Memory and Context Poisoning</t>
  </si>
  <si>
    <t xml:space="preserve">NHI-12, RUN-08, SUP-10, DAT-07</t>
  </si>
  <si>
    <t xml:space="preserve">Persistent memory or retrieved context manipulated so later steps act on false premises</t>
  </si>
  <si>
    <t xml:space="preserve">ASI07</t>
  </si>
  <si>
    <t xml:space="preserve">Insecure Inter-Agent Communication</t>
  </si>
  <si>
    <t xml:space="preserve">NHI-05, NHI-10, DAT-04, SUP-13</t>
  </si>
  <si>
    <t xml:space="preserve">Messages between agents spoofed, replayed or accepted without authentication</t>
  </si>
  <si>
    <t xml:space="preserve">ASI08</t>
  </si>
  <si>
    <t xml:space="preserve">Cascading Failures</t>
  </si>
  <si>
    <t xml:space="preserve">RUN-04, RUN-09, NHI-10, OBS-08</t>
  </si>
  <si>
    <t xml:space="preserve">A fault or compromise in one agent spreading through connected agents and systems</t>
  </si>
  <si>
    <t xml:space="preserve">ASI09</t>
  </si>
  <si>
    <t xml:space="preserve">Human-Agent Trust Exploitation</t>
  </si>
  <si>
    <t xml:space="preserve">POS-04, RUN-05, DAT-09, OBS-07</t>
  </si>
  <si>
    <t xml:space="preserve">People over-trust agent output and take harmful actions on it</t>
  </si>
  <si>
    <t xml:space="preserve">ASI10</t>
  </si>
  <si>
    <t xml:space="preserve">Rogue Agents</t>
  </si>
  <si>
    <t xml:space="preserve">OBS-08, NHI-08, NHI-09, SUP-13</t>
  </si>
  <si>
    <t xml:space="preserve">An agent operating outside policy through design failure, drift or compromise</t>
  </si>
  <si>
    <t xml:space="preserve">4. EU AI Act application dates</t>
  </si>
  <si>
    <t xml:space="preserve">As amended by the 2026 Digital Omnibus. Confirm the current dates before relying on them.</t>
  </si>
  <si>
    <t xml:space="preserve">What applies</t>
  </si>
  <si>
    <t xml:space="preserve">2 February 2025</t>
  </si>
  <si>
    <t xml:space="preserve">Prohibited practices (Art. 5) and AI literacy (Art. 4) apply</t>
  </si>
  <si>
    <t xml:space="preserve">2 August 2025</t>
  </si>
  <si>
    <t xml:space="preserve">GPAI model obligations (Art. 53 to 55) apply; governance bodies in place</t>
  </si>
  <si>
    <t xml:space="preserve">2 August 2026</t>
  </si>
  <si>
    <t xml:space="preserve">Transparency duties (Art. 50) apply; the general application date for most of the Act</t>
  </si>
  <si>
    <t xml:space="preserve">2 December 2026</t>
  </si>
  <si>
    <t xml:space="preserve">End of the marking grace period for generative systems already on the market; new Art. 5 prohibition transition ends</t>
  </si>
  <si>
    <t xml:space="preserve">2 December 2027</t>
  </si>
  <si>
    <t xml:space="preserve">Annex III high-risk obligations apply (moved from 2 August 2026 by the 2026 Digital Omnibus)</t>
  </si>
  <si>
    <t xml:space="preserve">2 August 2028</t>
  </si>
  <si>
    <t xml:space="preserve">Annex I high-risk obligations (AI in regulated products) apply (moved from 2 August 2027)</t>
  </si>
  <si>
    <t xml:space="preserve">Pick lists for the data validations on the other tabs. Edit a list here to change the options offered.</t>
  </si>
  <si>
    <t xml:space="preserve">Internal users only</t>
  </si>
  <si>
    <t xml:space="preserve">No connection</t>
  </si>
  <si>
    <t xml:space="preserve">Answers and generates only, no actions</t>
  </si>
  <si>
    <t xml:space="preserve">No, in writing</t>
  </si>
  <si>
    <t xml:space="preserve">On by default for everyone</t>
  </si>
  <si>
    <t xml:space="preserve">Prompts, responses and tool calls</t>
  </si>
  <si>
    <t xml:space="preserve">Our SIEM</t>
  </si>
  <si>
    <t xml:space="preserve">Purchased AI products and vendor AI features only</t>
  </si>
  <si>
    <t xml:space="preserve">Customers, partners or the public</t>
  </si>
  <si>
    <t xml:space="preserve">People sign in and type or upload</t>
  </si>
  <si>
    <t xml:space="preserve">Takes actions with a person approving each one</t>
  </si>
  <si>
    <t xml:space="preserve">No, by a setting we control</t>
  </si>
  <si>
    <t xml:space="preserve">Yes, an NDA</t>
  </si>
  <si>
    <t xml:space="preserve">On by default, admins can switch it off</t>
  </si>
  <si>
    <t xml:space="preserve">Some of those</t>
  </si>
  <si>
    <t xml:space="preserve">A log platform, not the SIEM</t>
  </si>
  <si>
    <t xml:space="preserve">Internal builds only</t>
  </si>
  <si>
    <t xml:space="preserve">Not sure</t>
  </si>
  <si>
    <t xml:space="preserve">Reads our data through an API, connector or index</t>
  </si>
  <si>
    <t xml:space="preserve">Takes actions on its own inside limits</t>
  </si>
  <si>
    <t xml:space="preserve">Yes, a named-person login</t>
  </si>
  <si>
    <t xml:space="preserve">Off until an admin enables it</t>
  </si>
  <si>
    <t xml:space="preserve">None yet</t>
  </si>
  <si>
    <t xml:space="preserve">Application logs only</t>
  </si>
  <si>
    <t xml:space="preserve">Other (describe below)</t>
  </si>
  <si>
    <t xml:space="preserve">Reads and writes to our systems</t>
  </si>
  <si>
    <t xml:space="preserve">Takes actions on its own without limits</t>
  </si>
  <si>
    <t xml:space="preserve">Unknown</t>
  </si>
  <si>
    <t xml:space="preserve">Yes, a no-AI clause</t>
  </si>
  <si>
    <t xml:space="preserve">Privileged or infrastructure access</t>
  </si>
</sst>
</file>

<file path=xl/styles.xml><?xml version="1.0" encoding="utf-8"?>
<styleSheet xmlns="http://schemas.openxmlformats.org/spreadsheetml/2006/main">
  <numFmts count="2">
    <numFmt numFmtId="164" formatCode="General"/>
    <numFmt numFmtId="165" formatCode="@"/>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000000"/>
      <name val="Arial"/>
      <family val="0"/>
      <charset val="1"/>
    </font>
    <font>
      <b val="true"/>
      <sz val="9"/>
      <color rgb="FF000000"/>
      <name val="Arial"/>
      <family val="0"/>
      <charset val="1"/>
    </font>
    <font>
      <sz val="9"/>
      <color rgb="FF000000"/>
      <name val="Arial"/>
      <family val="0"/>
      <charset val="1"/>
    </font>
    <font>
      <b val="true"/>
      <sz val="11"/>
      <color rgb="FFFFFFFF"/>
      <name val="Arial"/>
      <family val="0"/>
      <charset val="1"/>
    </font>
    <font>
      <b val="true"/>
      <sz val="10"/>
      <color rgb="FF000000"/>
      <name val="Arial"/>
      <family val="0"/>
      <charset val="1"/>
    </font>
    <font>
      <u val="single"/>
      <sz val="10"/>
      <color rgb="FF0563C1"/>
      <name val="Arial"/>
      <family val="0"/>
      <charset val="1"/>
    </font>
    <font>
      <sz val="9"/>
      <color rgb="FF404040"/>
      <name val="Arial"/>
      <family val="0"/>
      <charset val="1"/>
    </font>
    <font>
      <b val="true"/>
      <sz val="8"/>
      <color rgb="FF6B5555"/>
      <name val="Arial"/>
      <family val="0"/>
      <charset val="1"/>
    </font>
    <font>
      <sz val="8"/>
      <color rgb="FF6B5555"/>
      <name val="Arial"/>
      <family val="0"/>
      <charset val="1"/>
    </font>
  </fonts>
  <fills count="21">
    <fill>
      <patternFill patternType="none"/>
    </fill>
    <fill>
      <patternFill patternType="gray125"/>
    </fill>
    <fill>
      <patternFill patternType="solid">
        <fgColor rgb="FF1F3864"/>
        <bgColor rgb="FF404040"/>
      </patternFill>
    </fill>
    <fill>
      <patternFill patternType="solid">
        <fgColor rgb="FFFFF2CC"/>
        <bgColor rgb="FFEFE2BB"/>
      </patternFill>
    </fill>
    <fill>
      <patternFill patternType="solid">
        <fgColor rgb="FFF2DCDB"/>
        <bgColor rgb="FFEAD7DB"/>
      </patternFill>
    </fill>
    <fill>
      <patternFill patternType="solid">
        <fgColor rgb="FFFFEB9C"/>
        <bgColor rgb="FFEFE2BB"/>
      </patternFill>
    </fill>
    <fill>
      <patternFill patternType="solid">
        <fgColor rgb="FFF8CBAD"/>
        <bgColor rgb="FFEFE2BB"/>
      </patternFill>
    </fill>
    <fill>
      <patternFill patternType="solid">
        <fgColor rgb="FF305496"/>
        <bgColor rgb="FF1F3864"/>
      </patternFill>
    </fill>
    <fill>
      <patternFill patternType="solid">
        <fgColor rgb="FFD9E1F2"/>
        <bgColor rgb="FFD5DEEB"/>
      </patternFill>
    </fill>
    <fill>
      <patternFill patternType="solid">
        <fgColor rgb="FFC6EFCE"/>
        <bgColor rgb="FFD2E0DB"/>
      </patternFill>
    </fill>
    <fill>
      <patternFill patternType="solid">
        <fgColor rgb="FFE8A78C"/>
        <bgColor rgb="FFD5C8B6"/>
      </patternFill>
    </fill>
    <fill>
      <patternFill patternType="solid">
        <fgColor rgb="FFE2CCF1"/>
        <bgColor rgb="FFDED5E2"/>
      </patternFill>
    </fill>
    <fill>
      <patternFill patternType="solid">
        <fgColor rgb="FFD5DEEB"/>
        <bgColor rgb="FFD9E1F2"/>
      </patternFill>
    </fill>
    <fill>
      <patternFill patternType="solid">
        <fgColor rgb="FFEAD7DB"/>
        <bgColor rgb="FFF2DCDB"/>
      </patternFill>
    </fill>
    <fill>
      <patternFill patternType="solid">
        <fgColor rgb="FFD2E0DB"/>
        <bgColor rgb="FFD5DEEB"/>
      </patternFill>
    </fill>
    <fill>
      <patternFill patternType="solid">
        <fgColor rgb="FFDED5E2"/>
        <bgColor rgb="FFD9D9D9"/>
      </patternFill>
    </fill>
    <fill>
      <patternFill patternType="solid">
        <fgColor rgb="FFD6DEC4"/>
        <bgColor rgb="FFD2E0DB"/>
      </patternFill>
    </fill>
    <fill>
      <patternFill patternType="solid">
        <fgColor rgb="FFD5C8B6"/>
        <bgColor rgb="FFBFBFBF"/>
      </patternFill>
    </fill>
    <fill>
      <patternFill patternType="solid">
        <fgColor rgb="FFEFE2BB"/>
        <bgColor rgb="FFF2DCDB"/>
      </patternFill>
    </fill>
    <fill>
      <patternFill patternType="solid">
        <fgColor rgb="FFDDEBF7"/>
        <bgColor rgb="FFD9E1F2"/>
      </patternFill>
    </fill>
    <fill>
      <patternFill patternType="solid">
        <fgColor rgb="FFD9D9D9"/>
        <bgColor rgb="FFDED5E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false" indent="0" shrinkToFit="false"/>
      <protection locked="true" hidden="false"/>
    </xf>
    <xf numFmtId="164" fontId="6" fillId="5" borderId="1" xfId="0" applyFont="true" applyBorder="true" applyAlignment="true" applyProtection="false">
      <alignment horizontal="general" vertical="center" textRotation="0" wrapText="false" indent="0" shrinkToFit="false"/>
      <protection locked="true" hidden="false"/>
    </xf>
    <xf numFmtId="164" fontId="6" fillId="6" borderId="1" xfId="0" applyFont="true" applyBorder="true" applyAlignment="true" applyProtection="false">
      <alignment horizontal="general" vertical="center" textRotation="0" wrapText="false" indent="0" shrinkToFit="false"/>
      <protection locked="true" hidden="false"/>
    </xf>
    <xf numFmtId="164" fontId="8" fillId="7" borderId="0" xfId="0" applyFont="true" applyBorder="true" applyAlignment="true" applyProtection="false">
      <alignment horizontal="general" vertical="center"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9" fillId="9"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9" fillId="10"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5" fontId="5" fillId="3"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9"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5" fillId="10" borderId="1" xfId="0" applyFont="true" applyBorder="true" applyAlignment="true" applyProtection="false">
      <alignment horizontal="left" vertical="top" textRotation="0" wrapText="true" indent="0" shrinkToFit="false"/>
      <protection locked="true" hidden="false"/>
    </xf>
    <xf numFmtId="164" fontId="5" fillId="9"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4" fontId="5" fillId="11" borderId="1" xfId="0" applyFont="true" applyBorder="true" applyAlignment="true" applyProtection="false">
      <alignment horizontal="center" vertical="top" textRotation="0" wrapText="true" indent="0" shrinkToFit="false"/>
      <protection locked="true" hidden="false"/>
    </xf>
    <xf numFmtId="164" fontId="5" fillId="6" borderId="1" xfId="0" applyFont="true" applyBorder="true" applyAlignment="true" applyProtection="false">
      <alignment horizontal="center" vertical="top" textRotation="0" wrapText="true" indent="0" shrinkToFit="false"/>
      <protection locked="true" hidden="false"/>
    </xf>
    <xf numFmtId="164" fontId="5" fillId="10" borderId="1" xfId="0" applyFont="true" applyBorder="true" applyAlignment="true" applyProtection="false">
      <alignment horizontal="center" vertical="top" textRotation="0" wrapText="true" indent="0" shrinkToFit="false"/>
      <protection locked="true" hidden="false"/>
    </xf>
    <xf numFmtId="164" fontId="9" fillId="12" borderId="1" xfId="0" applyFont="true" applyBorder="true" applyAlignment="true" applyProtection="false">
      <alignment horizontal="left" vertical="top" textRotation="0" wrapText="true" indent="0" shrinkToFit="false"/>
      <protection locked="true" hidden="false"/>
    </xf>
    <xf numFmtId="164" fontId="9" fillId="13" borderId="1" xfId="0" applyFont="true" applyBorder="true" applyAlignment="true" applyProtection="false">
      <alignment horizontal="left" vertical="top" textRotation="0" wrapText="true" indent="0" shrinkToFit="false"/>
      <protection locked="true" hidden="false"/>
    </xf>
    <xf numFmtId="164" fontId="9" fillId="14" borderId="1" xfId="0" applyFont="true" applyBorder="true" applyAlignment="true" applyProtection="false">
      <alignment horizontal="left" vertical="top" textRotation="0" wrapText="true" indent="0" shrinkToFit="false"/>
      <protection locked="true" hidden="false"/>
    </xf>
    <xf numFmtId="164" fontId="9" fillId="15" borderId="1" xfId="0" applyFont="true" applyBorder="true" applyAlignment="true" applyProtection="false">
      <alignment horizontal="left" vertical="top" textRotation="0" wrapText="true" indent="0" shrinkToFit="false"/>
      <protection locked="true" hidden="false"/>
    </xf>
    <xf numFmtId="164" fontId="9" fillId="16" borderId="1" xfId="0" applyFont="true" applyBorder="true" applyAlignment="true" applyProtection="false">
      <alignment horizontal="left" vertical="top" textRotation="0" wrapText="true" indent="0" shrinkToFit="false"/>
      <protection locked="true" hidden="false"/>
    </xf>
    <xf numFmtId="164" fontId="9" fillId="17" borderId="1" xfId="0" applyFont="true" applyBorder="true" applyAlignment="true" applyProtection="false">
      <alignment horizontal="left" vertical="top" textRotation="0" wrapText="true" indent="0" shrinkToFit="false"/>
      <protection locked="true" hidden="false"/>
    </xf>
    <xf numFmtId="164" fontId="9" fillId="18" borderId="1" xfId="0" applyFont="true" applyBorder="true" applyAlignment="true" applyProtection="false">
      <alignment horizontal="left" vertical="top" textRotation="0" wrapText="true" indent="0" shrinkToFit="false"/>
      <protection locked="true" hidden="false"/>
    </xf>
    <xf numFmtId="164" fontId="5" fillId="12"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5" fillId="19" borderId="1" xfId="0" applyFont="true" applyBorder="true" applyAlignment="true" applyProtection="false">
      <alignment horizontal="center" vertical="top" textRotation="0" wrapText="true" indent="0" shrinkToFit="false"/>
      <protection locked="true" hidden="false"/>
    </xf>
    <xf numFmtId="164" fontId="5" fillId="13" borderId="1" xfId="0" applyFont="true" applyBorder="true" applyAlignment="true" applyProtection="false">
      <alignment horizontal="left" vertical="top" textRotation="0" wrapText="true" indent="0" shrinkToFit="false"/>
      <protection locked="true" hidden="false"/>
    </xf>
    <xf numFmtId="164" fontId="5" fillId="14" borderId="1" xfId="0" applyFont="true" applyBorder="true" applyAlignment="true" applyProtection="false">
      <alignment horizontal="left" vertical="top" textRotation="0" wrapText="true" indent="0" shrinkToFit="false"/>
      <protection locked="true" hidden="false"/>
    </xf>
    <xf numFmtId="164" fontId="5" fillId="15" borderId="1" xfId="0" applyFont="true" applyBorder="true" applyAlignment="true" applyProtection="false">
      <alignment horizontal="left" vertical="top" textRotation="0" wrapText="true" indent="0" shrinkToFit="false"/>
      <protection locked="true" hidden="false"/>
    </xf>
    <xf numFmtId="164" fontId="5" fillId="16" borderId="1" xfId="0" applyFont="true" applyBorder="true" applyAlignment="true" applyProtection="false">
      <alignment horizontal="left" vertical="top" textRotation="0" wrapText="true" indent="0" shrinkToFit="false"/>
      <protection locked="true" hidden="false"/>
    </xf>
    <xf numFmtId="164" fontId="5" fillId="17" borderId="1" xfId="0" applyFont="true" applyBorder="true" applyAlignment="true" applyProtection="false">
      <alignment horizontal="left" vertical="top" textRotation="0" wrapText="true" indent="0" shrinkToFit="false"/>
      <protection locked="true" hidden="false"/>
    </xf>
    <xf numFmtId="164" fontId="5" fillId="18"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20" borderId="1" xfId="0" applyFont="true" applyBorder="true" applyAlignment="true" applyProtection="false">
      <alignment horizontal="left" vertical="top" textRotation="0" wrapText="true" indent="0" shrinkToFit="false"/>
      <protection locked="true" hidden="false"/>
    </xf>
    <xf numFmtId="164" fontId="5" fillId="20" borderId="1" xfId="0" applyFont="true" applyBorder="true" applyAlignment="true" applyProtection="false">
      <alignment horizontal="center" vertical="top" textRotation="0" wrapText="true" indent="0" shrinkToFit="false"/>
      <protection locked="true" hidden="false"/>
    </xf>
    <xf numFmtId="164" fontId="9" fillId="11"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fgColor rgb="FF305496"/>
          <bgColor rgb="FF000000"/>
        </patternFill>
      </fill>
    </dxf>
    <dxf>
      <fill>
        <patternFill patternType="solid">
          <fgColor rgb="FFF2DCDB"/>
          <bgColor rgb="FF000000"/>
        </patternFill>
      </fill>
    </dxf>
    <dxf>
      <fill>
        <patternFill patternType="solid">
          <bgColor rgb="FF000000"/>
        </patternFill>
      </fill>
    </dxf>
    <dxf>
      <fill>
        <patternFill patternType="solid">
          <fgColor rgb="FF6B5555"/>
          <bgColor rgb="FF000000"/>
        </patternFill>
      </fill>
    </dxf>
    <dxf>
      <fill>
        <patternFill patternType="solid">
          <fgColor rgb="FFD9E1F2"/>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E8A78C"/>
          <bgColor rgb="FF000000"/>
        </patternFill>
      </fill>
    </dxf>
    <dxf>
      <fill>
        <patternFill patternType="solid">
          <fgColor rgb="FFF8CBAD"/>
          <bgColor rgb="FF000000"/>
        </patternFill>
      </fill>
    </dxf>
    <dxf>
      <fill>
        <patternFill patternType="solid">
          <fgColor rgb="FFFFEB9C"/>
          <bgColor rgb="FF000000"/>
        </patternFill>
      </fill>
    </dxf>
    <dxf>
      <fill>
        <patternFill patternType="solid">
          <fgColor rgb="FFE2CCF1"/>
          <bgColor rgb="FF000000"/>
        </patternFill>
      </fill>
    </dxf>
    <dxf>
      <fill>
        <patternFill patternType="solid">
          <fgColor rgb="FFD2E0DB"/>
          <bgColor rgb="FF000000"/>
        </patternFill>
      </fill>
    </dxf>
    <dxf>
      <fill>
        <patternFill patternType="solid">
          <fgColor rgb="FFD5C8B6"/>
          <bgColor rgb="FF000000"/>
        </patternFill>
      </fill>
    </dxf>
    <dxf>
      <fill>
        <patternFill patternType="solid">
          <fgColor rgb="FFD5DEEB"/>
          <bgColor rgb="FF000000"/>
        </patternFill>
      </fill>
    </dxf>
    <dxf>
      <fill>
        <patternFill patternType="solid">
          <fgColor rgb="FFD6DEC4"/>
          <bgColor rgb="FF000000"/>
        </patternFill>
      </fill>
    </dxf>
    <dxf>
      <fill>
        <patternFill patternType="solid">
          <fgColor rgb="FFDED5E2"/>
          <bgColor rgb="FF000000"/>
        </patternFill>
      </fill>
    </dxf>
    <dxf>
      <fill>
        <patternFill patternType="solid">
          <fgColor rgb="FFEAD7DB"/>
          <bgColor rgb="FF000000"/>
        </patternFill>
      </fill>
    </dxf>
    <dxf>
      <fill>
        <patternFill patternType="solid">
          <fgColor rgb="FFEFE2BB"/>
          <bgColor rgb="FF000000"/>
        </patternFill>
      </fill>
    </dxf>
    <dxf>
      <fill>
        <patternFill patternType="solid">
          <fgColor rgb="FFDDEBF7"/>
          <bgColor rgb="FF000000"/>
        </patternFill>
      </fill>
    </dxf>
    <dxf>
      <fill>
        <patternFill patternType="solid">
          <fgColor rgb="FFD9D9D9"/>
          <bgColor rgb="FF000000"/>
        </patternFill>
      </fill>
    </dxf>
  </dxfs>
  <colors>
    <indexedColors>
      <rgbColor rgb="FF000000"/>
      <rgbColor rgb="FFFFFFFF"/>
      <rgbColor rgb="FFFF0000"/>
      <rgbColor rgb="FF00FF00"/>
      <rgbColor rgb="FF0000FF"/>
      <rgbColor rgb="FFD6DEC4"/>
      <rgbColor rgb="FFFF00FF"/>
      <rgbColor rgb="FF00FFFF"/>
      <rgbColor rgb="FF800000"/>
      <rgbColor rgb="FF008000"/>
      <rgbColor rgb="FF000080"/>
      <rgbColor rgb="FF808000"/>
      <rgbColor rgb="FF800080"/>
      <rgbColor rgb="FF008080"/>
      <rgbColor rgb="FFBFBFBF"/>
      <rgbColor rgb="FF808080"/>
      <rgbColor rgb="FFDED5E2"/>
      <rgbColor rgb="FF993366"/>
      <rgbColor rgb="FFFFF2CC"/>
      <rgbColor rgb="FFDDEBF7"/>
      <rgbColor rgb="FF660066"/>
      <rgbColor rgb="FFEAD7DB"/>
      <rgbColor rgb="FF0563C1"/>
      <rgbColor rgb="FFE2CCF1"/>
      <rgbColor rgb="FF000080"/>
      <rgbColor rgb="FFFF00FF"/>
      <rgbColor rgb="FFF2DCDB"/>
      <rgbColor rgb="FF00FFFF"/>
      <rgbColor rgb="FF800080"/>
      <rgbColor rgb="FF800000"/>
      <rgbColor rgb="FF008080"/>
      <rgbColor rgb="FF0000FF"/>
      <rgbColor rgb="FF00CCFF"/>
      <rgbColor rgb="FFD9E1F2"/>
      <rgbColor rgb="FFC6EFCE"/>
      <rgbColor rgb="FFFFEB9C"/>
      <rgbColor rgb="FFD5DEEB"/>
      <rgbColor rgb="FFE8A78C"/>
      <rgbColor rgb="FFD5C8B6"/>
      <rgbColor rgb="FFF8CBAD"/>
      <rgbColor rgb="FF3366FF"/>
      <rgbColor rgb="FF33CCCC"/>
      <rgbColor rgb="FFD2E0DB"/>
      <rgbColor rgb="FFEFE2BB"/>
      <rgbColor rgb="FFFF9900"/>
      <rgbColor rgb="FFFF6600"/>
      <rgbColor rgb="FF6B5555"/>
      <rgbColor rgb="FFD9D9D9"/>
      <rgbColor rgb="FF1F3864"/>
      <rgbColor rgb="FF339966"/>
      <rgbColor rgb="FF003300"/>
      <rgbColor rgb="FF333300"/>
      <rgbColor rgb="FF993300"/>
      <rgbColor rgb="FF993366"/>
      <rgbColor rgb="FF30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58"/>
    <col collapsed="false" customWidth="true" hidden="false" outlineLevel="0" max="4" min="4" style="0" width="34"/>
  </cols>
  <sheetData>
    <row r="1" customFormat="false" ht="27.75" hidden="false" customHeight="true" outlineLevel="0" collapsed="false">
      <c r="A1" s="1" t="s">
        <v>0</v>
      </c>
      <c r="B1" s="1"/>
      <c r="C1" s="1"/>
      <c r="D1" s="1"/>
    </row>
    <row r="2" customFormat="false" ht="18" hidden="false" customHeight="true" outlineLevel="0" collapsed="false"/>
    <row r="3" customFormat="false" ht="57" hidden="false" customHeight="true" outlineLevel="0" collapsed="false">
      <c r="A3" s="2" t="s">
        <v>1</v>
      </c>
      <c r="B3" s="2"/>
      <c r="C3" s="2"/>
      <c r="D3" s="2"/>
    </row>
    <row r="4" customFormat="false" ht="18" hidden="false" customHeight="true" outlineLevel="0" collapsed="false"/>
    <row r="5" customFormat="false" ht="18" hidden="false" customHeight="true" outlineLevel="0" collapsed="false">
      <c r="A5" s="3" t="s">
        <v>2</v>
      </c>
      <c r="B5" s="4" t="s">
        <v>3</v>
      </c>
      <c r="C5" s="4"/>
      <c r="D5" s="4"/>
    </row>
    <row r="6" customFormat="false" ht="18" hidden="false" customHeight="true" outlineLevel="0" collapsed="false">
      <c r="A6" s="5" t="s">
        <v>4</v>
      </c>
      <c r="B6" s="4" t="s">
        <v>5</v>
      </c>
      <c r="C6" s="4"/>
      <c r="D6" s="4"/>
    </row>
    <row r="7" customFormat="false" ht="30.75" hidden="false" customHeight="true" outlineLevel="0" collapsed="false">
      <c r="A7" s="6" t="s">
        <v>6</v>
      </c>
      <c r="B7" s="4" t="s">
        <v>7</v>
      </c>
      <c r="C7" s="4"/>
      <c r="D7" s="4"/>
    </row>
    <row r="8" customFormat="false" ht="30.75" hidden="false" customHeight="true" outlineLevel="0" collapsed="false">
      <c r="A8" s="7" t="s">
        <v>8</v>
      </c>
      <c r="B8" s="4" t="s">
        <v>9</v>
      </c>
      <c r="C8" s="4"/>
      <c r="D8" s="4"/>
    </row>
    <row r="9" customFormat="false" ht="18" hidden="false" customHeight="true" outlineLevel="0" collapsed="false"/>
    <row r="10" customFormat="false" ht="21.75" hidden="false" customHeight="true" outlineLevel="0" collapsed="false">
      <c r="A10" s="8" t="s">
        <v>10</v>
      </c>
      <c r="B10" s="8"/>
      <c r="C10" s="8"/>
      <c r="D10" s="8"/>
    </row>
    <row r="11" customFormat="false" ht="18" hidden="false" customHeight="true" outlineLevel="0" collapsed="false">
      <c r="A11" s="9" t="s">
        <v>11</v>
      </c>
      <c r="B11" s="9" t="s">
        <v>12</v>
      </c>
      <c r="C11" s="9" t="s">
        <v>13</v>
      </c>
      <c r="D11" s="9" t="s">
        <v>14</v>
      </c>
    </row>
    <row r="12" customFormat="false" ht="43.5" hidden="false" customHeight="true" outlineLevel="0" collapsed="false">
      <c r="A12" s="10" t="n">
        <v>1</v>
      </c>
      <c r="B12" s="11" t="str">
        <f aca="false">HYPERLINK("#'Org Profile'!A1","Org Profile")</f>
        <v>Org Profile</v>
      </c>
      <c r="C12" s="12" t="s">
        <v>15</v>
      </c>
      <c r="D12" s="12" t="s">
        <v>16</v>
      </c>
    </row>
    <row r="13" customFormat="false" ht="57" hidden="false" customHeight="true" outlineLevel="0" collapsed="false">
      <c r="A13" s="10" t="n">
        <v>2</v>
      </c>
      <c r="B13" s="11" t="str">
        <f aca="false">HYPERLINK("#'Tool Function Mapping'!A1","Tool Function Mapping")</f>
        <v>Tool Function Mapping</v>
      </c>
      <c r="C13" s="12" t="s">
        <v>17</v>
      </c>
      <c r="D13" s="12" t="s">
        <v>18</v>
      </c>
    </row>
    <row r="14" customFormat="false" ht="69.75" hidden="false" customHeight="true" outlineLevel="0" collapsed="false">
      <c r="A14" s="10" t="n">
        <v>3</v>
      </c>
      <c r="B14" s="11" t="str">
        <f aca="false">HYPERLINK("#'Guardrail Checklist'!A1","Guardrail Checklist")</f>
        <v>Guardrail Checklist</v>
      </c>
      <c r="C14" s="12" t="s">
        <v>19</v>
      </c>
      <c r="D14" s="12" t="s">
        <v>20</v>
      </c>
    </row>
    <row r="15" customFormat="false" ht="43.5" hidden="false" customHeight="true" outlineLevel="0" collapsed="false">
      <c r="A15" s="10" t="n">
        <v>4</v>
      </c>
      <c r="B15" s="11" t="str">
        <f aca="false">HYPERLINK("#'Intake Form'!A1","Intake Form")</f>
        <v>Intake Form</v>
      </c>
      <c r="C15" s="12" t="s">
        <v>21</v>
      </c>
      <c r="D15" s="12" t="s">
        <v>22</v>
      </c>
    </row>
    <row r="16" customFormat="false" ht="30.75" hidden="false" customHeight="true" outlineLevel="0" collapsed="false">
      <c r="A16" s="10" t="n">
        <v>5</v>
      </c>
      <c r="B16" s="11" t="str">
        <f aca="false">HYPERLINK("#'Tool Registry'!A1","Tool Registry")</f>
        <v>Tool Registry</v>
      </c>
      <c r="C16" s="12" t="s">
        <v>23</v>
      </c>
      <c r="D16" s="12" t="s">
        <v>24</v>
      </c>
    </row>
    <row r="17" customFormat="false" ht="30.75" hidden="false" customHeight="true" outlineLevel="0" collapsed="false">
      <c r="A17" s="10" t="n">
        <v>6</v>
      </c>
      <c r="B17" s="11" t="str">
        <f aca="false">HYPERLINK("#'Exception Tracker'!A1","Exception Tracker")</f>
        <v>Exception Tracker</v>
      </c>
      <c r="C17" s="12" t="s">
        <v>25</v>
      </c>
      <c r="D17" s="12" t="s">
        <v>26</v>
      </c>
    </row>
    <row r="18" customFormat="false" ht="43.5" hidden="false" customHeight="true" outlineLevel="0" collapsed="false">
      <c r="A18" s="10" t="n">
        <v>7</v>
      </c>
      <c r="B18" s="11" t="str">
        <f aca="false">HYPERLINK("#'AI Security Tool Landscape'!A1","AI Security Tool Landscape")</f>
        <v>AI Security Tool Landscape</v>
      </c>
      <c r="C18" s="12" t="s">
        <v>27</v>
      </c>
      <c r="D18" s="12" t="s">
        <v>28</v>
      </c>
    </row>
    <row r="19" customFormat="false" ht="30.75" hidden="false" customHeight="true" outlineLevel="0" collapsed="false">
      <c r="A19" s="10" t="n">
        <v>8</v>
      </c>
      <c r="B19" s="11" t="str">
        <f aca="false">HYPERLINK("#'Compliance Mapping'!A1","Compliance Mapping")</f>
        <v>Compliance Mapping</v>
      </c>
      <c r="C19" s="12" t="s">
        <v>29</v>
      </c>
      <c r="D19" s="12" t="s">
        <v>30</v>
      </c>
    </row>
    <row r="20" customFormat="false" ht="18" hidden="false" customHeight="true" outlineLevel="0" collapsed="false"/>
    <row r="21" customFormat="false" ht="21.75" hidden="false" customHeight="true" outlineLevel="0" collapsed="false">
      <c r="A21" s="8" t="s">
        <v>31</v>
      </c>
      <c r="B21" s="8"/>
      <c r="C21" s="8"/>
      <c r="D21" s="8"/>
    </row>
    <row r="22" customFormat="false" ht="18" hidden="false" customHeight="true" outlineLevel="0" collapsed="false">
      <c r="A22" s="9" t="s">
        <v>32</v>
      </c>
      <c r="B22" s="9" t="s">
        <v>33</v>
      </c>
      <c r="C22" s="9"/>
      <c r="D22" s="9"/>
    </row>
    <row r="23" customFormat="false" ht="18" hidden="false" customHeight="true" outlineLevel="0" collapsed="false">
      <c r="A23" s="13" t="s">
        <v>34</v>
      </c>
      <c r="B23" s="12" t="s">
        <v>35</v>
      </c>
      <c r="C23" s="12"/>
      <c r="D23" s="12"/>
    </row>
    <row r="24" customFormat="false" ht="43.5" hidden="false" customHeight="true" outlineLevel="0" collapsed="false">
      <c r="A24" s="13" t="s">
        <v>36</v>
      </c>
      <c r="B24" s="12" t="s">
        <v>37</v>
      </c>
      <c r="C24" s="12"/>
      <c r="D24" s="12"/>
    </row>
    <row r="25" customFormat="false" ht="30.75" hidden="false" customHeight="true" outlineLevel="0" collapsed="false">
      <c r="A25" s="13" t="s">
        <v>38</v>
      </c>
      <c r="B25" s="12" t="s">
        <v>39</v>
      </c>
      <c r="C25" s="12"/>
      <c r="D25" s="12"/>
    </row>
    <row r="26" customFormat="false" ht="57" hidden="false" customHeight="true" outlineLevel="0" collapsed="false">
      <c r="A26" s="13" t="s">
        <v>40</v>
      </c>
      <c r="B26" s="12" t="s">
        <v>41</v>
      </c>
      <c r="C26" s="12"/>
      <c r="D26" s="12"/>
    </row>
    <row r="27" customFormat="false" ht="43.5" hidden="false" customHeight="true" outlineLevel="0" collapsed="false">
      <c r="A27" s="13" t="s">
        <v>42</v>
      </c>
      <c r="B27" s="12" t="s">
        <v>43</v>
      </c>
      <c r="C27" s="12"/>
      <c r="D27" s="12"/>
    </row>
    <row r="28" customFormat="false" ht="18" hidden="false" customHeight="true" outlineLevel="0" collapsed="false">
      <c r="A28" s="13" t="s">
        <v>44</v>
      </c>
      <c r="B28" s="12" t="s">
        <v>45</v>
      </c>
      <c r="C28" s="12"/>
      <c r="D28" s="12"/>
    </row>
    <row r="29" customFormat="false" ht="30.75" hidden="false" customHeight="true" outlineLevel="0" collapsed="false">
      <c r="A29" s="13" t="s">
        <v>46</v>
      </c>
      <c r="B29" s="12" t="s">
        <v>47</v>
      </c>
      <c r="C29" s="12"/>
      <c r="D29" s="12"/>
    </row>
    <row r="30" customFormat="false" ht="18" hidden="false" customHeight="true" outlineLevel="0" collapsed="false"/>
    <row r="31" customFormat="false" ht="21.75" hidden="false" customHeight="true" outlineLevel="0" collapsed="false">
      <c r="A31" s="8" t="s">
        <v>48</v>
      </c>
      <c r="B31" s="8"/>
      <c r="C31" s="8"/>
      <c r="D31" s="8"/>
    </row>
    <row r="32" customFormat="false" ht="18" hidden="false" customHeight="true" outlineLevel="0" collapsed="false">
      <c r="A32" s="2" t="s">
        <v>49</v>
      </c>
      <c r="B32" s="2"/>
      <c r="C32" s="2"/>
      <c r="D32" s="2"/>
    </row>
    <row r="33" customFormat="false" ht="18" hidden="false" customHeight="true" outlineLevel="0" collapsed="false">
      <c r="A33" s="9" t="s">
        <v>50</v>
      </c>
      <c r="B33" s="9" t="s">
        <v>51</v>
      </c>
      <c r="C33" s="9" t="s">
        <v>52</v>
      </c>
      <c r="D33" s="9" t="s">
        <v>53</v>
      </c>
    </row>
    <row r="34" customFormat="false" ht="18" hidden="false" customHeight="true" outlineLevel="0" collapsed="false">
      <c r="A34" s="14" t="s">
        <v>54</v>
      </c>
      <c r="B34" s="15" t="str">
        <f aca="false">'Org Profile'!C28</f>
        <v>Security reviewer</v>
      </c>
      <c r="C34" s="15" t="str">
        <f aca="false">'Org Profile'!C32</f>
        <v>Yearly</v>
      </c>
      <c r="D34" s="15" t="str">
        <f aca="false">'Org Profile'!C36</f>
        <v>The business owner of the use case</v>
      </c>
    </row>
    <row r="35" customFormat="false" ht="18" hidden="false" customHeight="true" outlineLevel="0" collapsed="false">
      <c r="A35" s="16" t="s">
        <v>55</v>
      </c>
      <c r="B35" s="15" t="str">
        <f aca="false">'Org Profile'!C29</f>
        <v>Department lead with security review</v>
      </c>
      <c r="C35" s="15" t="str">
        <f aca="false">'Org Profile'!C33</f>
        <v>Every six months</v>
      </c>
      <c r="D35" s="15" t="str">
        <f aca="false">'Org Profile'!C36</f>
        <v>The business owner of the use case</v>
      </c>
    </row>
    <row r="36" customFormat="false" ht="18" hidden="false" customHeight="true" outlineLevel="0" collapsed="false">
      <c r="A36" s="17" t="s">
        <v>56</v>
      </c>
      <c r="B36" s="15" t="str">
        <f aca="false">'Org Profile'!C30</f>
        <v>AI governance committee</v>
      </c>
      <c r="C36" s="15" t="str">
        <f aca="false">'Org Profile'!C34</f>
        <v>Quarterly</v>
      </c>
      <c r="D36" s="15" t="str">
        <f aca="false">'Org Profile'!C37</f>
        <v>The business unit head</v>
      </c>
    </row>
    <row r="37" customFormat="false" ht="18" hidden="false" customHeight="true" outlineLevel="0" collapsed="false">
      <c r="A37" s="18" t="s">
        <v>57</v>
      </c>
      <c r="B37" s="15" t="str">
        <f aca="false">'Org Profile'!C31</f>
        <v>Exception only: CISO and the committee, with an executive sponsor</v>
      </c>
      <c r="C37" s="15" t="str">
        <f aca="false">'Org Profile'!C35</f>
        <v>Monthly</v>
      </c>
      <c r="D37" s="15" t="str">
        <f aca="false">'Org Profile'!C38</f>
        <v>A named executive, with the exception on record</v>
      </c>
    </row>
    <row r="38" customFormat="false" ht="18" hidden="false" customHeight="true" outlineLevel="0" collapsed="false"/>
    <row r="39" customFormat="false" ht="21.75" hidden="false" customHeight="true" outlineLevel="0" collapsed="false">
      <c r="A39" s="8" t="s">
        <v>58</v>
      </c>
      <c r="B39" s="8"/>
      <c r="C39" s="8"/>
      <c r="D39" s="8"/>
    </row>
    <row r="40" customFormat="false" ht="18" hidden="false" customHeight="true" outlineLevel="0" collapsed="false">
      <c r="A40" s="9" t="s">
        <v>59</v>
      </c>
      <c r="B40" s="9" t="s">
        <v>60</v>
      </c>
      <c r="C40" s="9" t="s">
        <v>61</v>
      </c>
      <c r="D40" s="9"/>
    </row>
    <row r="41" customFormat="false" ht="160.5" hidden="false" customHeight="true" outlineLevel="0" collapsed="false">
      <c r="A41" s="12" t="s">
        <v>62</v>
      </c>
      <c r="B41" s="12" t="s">
        <v>63</v>
      </c>
      <c r="C41" s="12" t="s">
        <v>64</v>
      </c>
      <c r="D41" s="12"/>
    </row>
    <row r="42" customFormat="false" ht="30.75" hidden="false" customHeight="true" outlineLevel="0" collapsed="false">
      <c r="A42" s="12" t="s">
        <v>65</v>
      </c>
      <c r="B42" s="12" t="s">
        <v>66</v>
      </c>
      <c r="C42" s="12" t="s">
        <v>67</v>
      </c>
      <c r="D42" s="12"/>
    </row>
    <row r="43" customFormat="false" ht="18" hidden="false" customHeight="true" outlineLevel="0" collapsed="false">
      <c r="A43" s="12" t="s">
        <v>68</v>
      </c>
      <c r="B43" s="12" t="s">
        <v>69</v>
      </c>
      <c r="C43" s="12" t="s">
        <v>70</v>
      </c>
      <c r="D43" s="12"/>
    </row>
    <row r="44" customFormat="false" ht="18" hidden="false" customHeight="true" outlineLevel="0" collapsed="false">
      <c r="A44" s="12" t="s">
        <v>71</v>
      </c>
      <c r="B44" s="12" t="s">
        <v>72</v>
      </c>
      <c r="C44" s="12" t="s">
        <v>73</v>
      </c>
      <c r="D44" s="12"/>
    </row>
    <row r="45" customFormat="false" ht="18" hidden="false" customHeight="true" outlineLevel="0" collapsed="false"/>
    <row r="46" customFormat="false" ht="30.75" hidden="false" customHeight="true" outlineLevel="0" collapsed="false">
      <c r="A46" s="19" t="s">
        <v>74</v>
      </c>
      <c r="B46" s="19"/>
      <c r="C46" s="19"/>
      <c r="D46" s="19"/>
    </row>
  </sheetData>
  <mergeCells count="25">
    <mergeCell ref="A1:D1"/>
    <mergeCell ref="A3:D3"/>
    <mergeCell ref="B5:D5"/>
    <mergeCell ref="B6:D6"/>
    <mergeCell ref="B7:D7"/>
    <mergeCell ref="B8:D8"/>
    <mergeCell ref="A10:D10"/>
    <mergeCell ref="A21:D21"/>
    <mergeCell ref="B22:D22"/>
    <mergeCell ref="B23:D23"/>
    <mergeCell ref="B24:D24"/>
    <mergeCell ref="B25:D25"/>
    <mergeCell ref="B26:D26"/>
    <mergeCell ref="B27:D27"/>
    <mergeCell ref="B28:D28"/>
    <mergeCell ref="B29:D29"/>
    <mergeCell ref="A31:D31"/>
    <mergeCell ref="A32:D32"/>
    <mergeCell ref="A39:D39"/>
    <mergeCell ref="C40:D40"/>
    <mergeCell ref="C41:D41"/>
    <mergeCell ref="C42:D42"/>
    <mergeCell ref="C43:D43"/>
    <mergeCell ref="C44:D44"/>
    <mergeCell ref="A46:D4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4"/>
    <col collapsed="false" customWidth="true" hidden="false" outlineLevel="0" max="3" min="3" style="0" width="36"/>
    <col collapsed="false" customWidth="true" hidden="false" outlineLevel="0" max="4" min="4" style="0" width="64"/>
    <col collapsed="false" customWidth="true" hidden="false" outlineLevel="0" max="5" min="5" style="0" width="34"/>
  </cols>
  <sheetData>
    <row r="1" customFormat="false" ht="27.75" hidden="false" customHeight="true" outlineLevel="0" collapsed="false">
      <c r="A1" s="1" t="s">
        <v>75</v>
      </c>
      <c r="B1" s="1"/>
      <c r="C1" s="1"/>
      <c r="D1" s="1"/>
      <c r="E1" s="1"/>
    </row>
    <row r="2" customFormat="false" ht="18" hidden="false" customHeight="true" outlineLevel="0" collapsed="false"/>
    <row r="3" customFormat="false" ht="30.75" hidden="false" customHeight="true" outlineLevel="0" collapsed="false">
      <c r="A3" s="2" t="s">
        <v>76</v>
      </c>
      <c r="B3" s="2"/>
      <c r="C3" s="2"/>
      <c r="D3" s="2"/>
      <c r="E3" s="2"/>
    </row>
    <row r="4" customFormat="false" ht="18" hidden="false" customHeight="true" outlineLevel="0" collapsed="false"/>
    <row r="5" customFormat="false" ht="18" hidden="false" customHeight="true" outlineLevel="0" collapsed="false">
      <c r="A5" s="3" t="s">
        <v>2</v>
      </c>
      <c r="B5" s="4" t="s">
        <v>77</v>
      </c>
      <c r="C5" s="4"/>
      <c r="D5" s="4"/>
      <c r="E5" s="4"/>
    </row>
    <row r="6" customFormat="false" ht="18" hidden="false" customHeight="true" outlineLevel="0" collapsed="false">
      <c r="A6" s="5" t="s">
        <v>4</v>
      </c>
      <c r="B6" s="4" t="s">
        <v>78</v>
      </c>
      <c r="C6" s="4"/>
      <c r="D6" s="4"/>
      <c r="E6" s="4"/>
    </row>
    <row r="7" customFormat="false" ht="30" hidden="false" customHeight="true" outlineLevel="0" collapsed="false">
      <c r="A7" s="5" t="s">
        <v>79</v>
      </c>
      <c r="B7" s="20" t="str">
        <f aca="false">IF((58-COUNTA(C11,C12,C13,C14,C15,C16,C17,C18,C19,C24,C25,C26,C27,C28,C29,C30,C31,C32,C33,C34,C35,C36,C37,C38,C39,C40,C41,C42,C43,C44,C45,C46,C51,C52,C53,C54,C55,C56,C57,C58,C59,C60,C61,C62,C63,C64,C65,C66,C67,C68,C69,C74,C75,C76,C77,C78,C83,C84))=0,"Complete: every answer the skill needs is filled in.","Still open: "&amp;(58-COUNTA(C11,C12,C13,C14,C15,C16,C17,C18,C19,C24,C25,C26,C27,C28,C29,C30,C31,C32,C33,C34,C35,C36,C37,C38,C39,C40,C41,C42,C43,C44,C45,C46,C51,C52,C53,C54,C55,C56,C57,C58,C59,C60,C61,C62,C63,C64,C65,C66,C67,C68,C69,C74,C75,C76,C77,C78,C83,C84))&amp;" of 58 answers. The skill stops and asks for them before it assesses anything. Section 6 has working defaults.")</f>
        <v>Still open: 36 of 58 answers. The skill stops and asks for them before it assesses anything. Section 6 has working defaults.</v>
      </c>
      <c r="C7" s="20"/>
      <c r="D7" s="20"/>
      <c r="E7" s="20"/>
    </row>
    <row r="8" customFormat="false" ht="18" hidden="false" customHeight="true" outlineLevel="0" collapsed="false"/>
    <row r="9" customFormat="false" ht="21.75" hidden="false" customHeight="true" outlineLevel="0" collapsed="false">
      <c r="A9" s="8" t="s">
        <v>80</v>
      </c>
      <c r="B9" s="8"/>
      <c r="C9" s="8"/>
      <c r="D9" s="8"/>
      <c r="E9" s="8"/>
    </row>
    <row r="10" customFormat="false" ht="18" hidden="false" customHeight="true" outlineLevel="0" collapsed="false">
      <c r="A10" s="21" t="s">
        <v>81</v>
      </c>
      <c r="B10" s="9" t="s">
        <v>82</v>
      </c>
      <c r="C10" s="9" t="s">
        <v>83</v>
      </c>
      <c r="D10" s="9" t="s">
        <v>84</v>
      </c>
      <c r="E10" s="9" t="s">
        <v>85</v>
      </c>
    </row>
    <row r="11" customFormat="false" ht="30.75" hidden="false" customHeight="true" outlineLevel="0" collapsed="false">
      <c r="A11" s="22" t="s">
        <v>86</v>
      </c>
      <c r="B11" s="12" t="s">
        <v>87</v>
      </c>
      <c r="C11" s="23"/>
      <c r="D11" s="12" t="s">
        <v>88</v>
      </c>
      <c r="E11" s="12" t="s">
        <v>89</v>
      </c>
    </row>
    <row r="12" customFormat="false" ht="18" hidden="false" customHeight="true" outlineLevel="0" collapsed="false">
      <c r="A12" s="22" t="s">
        <v>90</v>
      </c>
      <c r="B12" s="12" t="s">
        <v>91</v>
      </c>
      <c r="C12" s="23"/>
      <c r="D12" s="12" t="s">
        <v>92</v>
      </c>
      <c r="E12" s="12" t="s">
        <v>93</v>
      </c>
    </row>
    <row r="13" customFormat="false" ht="30.75" hidden="false" customHeight="true" outlineLevel="0" collapsed="false">
      <c r="A13" s="22" t="s">
        <v>94</v>
      </c>
      <c r="B13" s="12" t="s">
        <v>95</v>
      </c>
      <c r="C13" s="23"/>
      <c r="D13" s="12" t="s">
        <v>96</v>
      </c>
      <c r="E13" s="12" t="s">
        <v>97</v>
      </c>
    </row>
    <row r="14" customFormat="false" ht="57" hidden="false" customHeight="true" outlineLevel="0" collapsed="false">
      <c r="A14" s="22" t="s">
        <v>98</v>
      </c>
      <c r="B14" s="12" t="s">
        <v>99</v>
      </c>
      <c r="C14" s="23"/>
      <c r="D14" s="12" t="s">
        <v>100</v>
      </c>
      <c r="E14" s="12" t="s">
        <v>101</v>
      </c>
    </row>
    <row r="15" customFormat="false" ht="43.5" hidden="false" customHeight="true" outlineLevel="0" collapsed="false">
      <c r="A15" s="22" t="s">
        <v>102</v>
      </c>
      <c r="B15" s="12" t="s">
        <v>103</v>
      </c>
      <c r="C15" s="23"/>
      <c r="D15" s="12" t="s">
        <v>104</v>
      </c>
      <c r="E15" s="12" t="s">
        <v>105</v>
      </c>
    </row>
    <row r="16" customFormat="false" ht="30.75" hidden="false" customHeight="true" outlineLevel="0" collapsed="false">
      <c r="A16" s="22" t="s">
        <v>106</v>
      </c>
      <c r="B16" s="12" t="s">
        <v>107</v>
      </c>
      <c r="C16" s="23"/>
      <c r="D16" s="12" t="s">
        <v>108</v>
      </c>
      <c r="E16" s="12" t="s">
        <v>109</v>
      </c>
    </row>
    <row r="17" customFormat="false" ht="30.75" hidden="false" customHeight="true" outlineLevel="0" collapsed="false">
      <c r="A17" s="22" t="s">
        <v>110</v>
      </c>
      <c r="B17" s="12" t="s">
        <v>111</v>
      </c>
      <c r="C17" s="23"/>
      <c r="D17" s="12" t="s">
        <v>112</v>
      </c>
      <c r="E17" s="12" t="s">
        <v>113</v>
      </c>
    </row>
    <row r="18" customFormat="false" ht="18" hidden="false" customHeight="true" outlineLevel="0" collapsed="false">
      <c r="A18" s="22" t="s">
        <v>114</v>
      </c>
      <c r="B18" s="12" t="s">
        <v>115</v>
      </c>
      <c r="C18" s="23"/>
      <c r="D18" s="12" t="s">
        <v>116</v>
      </c>
      <c r="E18" s="12" t="s">
        <v>117</v>
      </c>
    </row>
    <row r="19" customFormat="false" ht="18" hidden="false" customHeight="true" outlineLevel="0" collapsed="false">
      <c r="A19" s="22" t="s">
        <v>118</v>
      </c>
      <c r="B19" s="12" t="s">
        <v>119</v>
      </c>
      <c r="C19" s="23"/>
      <c r="D19" s="12" t="s">
        <v>120</v>
      </c>
      <c r="E19" s="12" t="s">
        <v>121</v>
      </c>
    </row>
    <row r="20" customFormat="false" ht="18" hidden="false" customHeight="true" outlineLevel="0" collapsed="false"/>
    <row r="21" customFormat="false" ht="21.75" hidden="false" customHeight="true" outlineLevel="0" collapsed="false">
      <c r="A21" s="8" t="s">
        <v>122</v>
      </c>
      <c r="B21" s="8"/>
      <c r="C21" s="8"/>
      <c r="D21" s="8"/>
      <c r="E21" s="8"/>
    </row>
    <row r="22" customFormat="false" ht="30.75" hidden="false" customHeight="true" outlineLevel="0" collapsed="false">
      <c r="A22" s="2" t="s">
        <v>123</v>
      </c>
      <c r="B22" s="2"/>
      <c r="C22" s="2"/>
      <c r="D22" s="2"/>
      <c r="E22" s="2"/>
    </row>
    <row r="23" customFormat="false" ht="18" hidden="false" customHeight="true" outlineLevel="0" collapsed="false">
      <c r="A23" s="21" t="s">
        <v>81</v>
      </c>
      <c r="B23" s="9" t="s">
        <v>82</v>
      </c>
      <c r="C23" s="9" t="s">
        <v>83</v>
      </c>
      <c r="D23" s="9" t="s">
        <v>84</v>
      </c>
      <c r="E23" s="9" t="s">
        <v>85</v>
      </c>
    </row>
    <row r="24" customFormat="false" ht="18" hidden="false" customHeight="true" outlineLevel="0" collapsed="false">
      <c r="A24" s="22" t="s">
        <v>124</v>
      </c>
      <c r="B24" s="12" t="s">
        <v>125</v>
      </c>
      <c r="C24" s="23"/>
      <c r="D24" s="12" t="s">
        <v>126</v>
      </c>
      <c r="E24" s="12" t="s">
        <v>127</v>
      </c>
    </row>
    <row r="25" customFormat="false" ht="18" hidden="false" customHeight="true" outlineLevel="0" collapsed="false">
      <c r="A25" s="22" t="s">
        <v>128</v>
      </c>
      <c r="B25" s="12" t="s">
        <v>129</v>
      </c>
      <c r="C25" s="23"/>
      <c r="D25" s="12" t="s">
        <v>130</v>
      </c>
      <c r="E25" s="12" t="s">
        <v>131</v>
      </c>
    </row>
    <row r="26" customFormat="false" ht="18" hidden="false" customHeight="true" outlineLevel="0" collapsed="false">
      <c r="A26" s="22" t="s">
        <v>132</v>
      </c>
      <c r="B26" s="12" t="s">
        <v>133</v>
      </c>
      <c r="C26" s="23"/>
      <c r="D26" s="12" t="s">
        <v>134</v>
      </c>
      <c r="E26" s="12" t="s">
        <v>135</v>
      </c>
    </row>
    <row r="27" customFormat="false" ht="30.75" hidden="false" customHeight="true" outlineLevel="0" collapsed="false">
      <c r="A27" s="22" t="s">
        <v>136</v>
      </c>
      <c r="B27" s="12" t="s">
        <v>137</v>
      </c>
      <c r="C27" s="23"/>
      <c r="D27" s="12" t="s">
        <v>138</v>
      </c>
      <c r="E27" s="12" t="s">
        <v>139</v>
      </c>
    </row>
    <row r="28" customFormat="false" ht="30.75" hidden="false" customHeight="true" outlineLevel="0" collapsed="false">
      <c r="A28" s="22" t="s">
        <v>140</v>
      </c>
      <c r="B28" s="12" t="s">
        <v>141</v>
      </c>
      <c r="C28" s="23" t="s">
        <v>142</v>
      </c>
      <c r="D28" s="12" t="s">
        <v>143</v>
      </c>
      <c r="E28" s="12" t="s">
        <v>142</v>
      </c>
    </row>
    <row r="29" customFormat="false" ht="18" hidden="false" customHeight="true" outlineLevel="0" collapsed="false">
      <c r="A29" s="22" t="s">
        <v>144</v>
      </c>
      <c r="B29" s="12" t="s">
        <v>145</v>
      </c>
      <c r="C29" s="23" t="s">
        <v>146</v>
      </c>
      <c r="D29" s="12"/>
      <c r="E29" s="12" t="s">
        <v>146</v>
      </c>
    </row>
    <row r="30" customFormat="false" ht="18" hidden="false" customHeight="true" outlineLevel="0" collapsed="false">
      <c r="A30" s="22" t="s">
        <v>147</v>
      </c>
      <c r="B30" s="12" t="s">
        <v>148</v>
      </c>
      <c r="C30" s="23" t="s">
        <v>149</v>
      </c>
      <c r="D30" s="12"/>
      <c r="E30" s="12" t="s">
        <v>149</v>
      </c>
    </row>
    <row r="31" customFormat="false" ht="30.75" hidden="false" customHeight="true" outlineLevel="0" collapsed="false">
      <c r="A31" s="22" t="s">
        <v>150</v>
      </c>
      <c r="B31" s="12" t="s">
        <v>151</v>
      </c>
      <c r="C31" s="23" t="s">
        <v>152</v>
      </c>
      <c r="D31" s="12" t="s">
        <v>153</v>
      </c>
      <c r="E31" s="12" t="s">
        <v>152</v>
      </c>
    </row>
    <row r="32" customFormat="false" ht="18" hidden="false" customHeight="true" outlineLevel="0" collapsed="false">
      <c r="A32" s="22" t="s">
        <v>154</v>
      </c>
      <c r="B32" s="12" t="s">
        <v>155</v>
      </c>
      <c r="C32" s="23" t="s">
        <v>156</v>
      </c>
      <c r="D32" s="12"/>
      <c r="E32" s="12" t="s">
        <v>156</v>
      </c>
    </row>
    <row r="33" customFormat="false" ht="18" hidden="false" customHeight="true" outlineLevel="0" collapsed="false">
      <c r="A33" s="22" t="s">
        <v>157</v>
      </c>
      <c r="B33" s="12" t="s">
        <v>158</v>
      </c>
      <c r="C33" s="23" t="s">
        <v>159</v>
      </c>
      <c r="D33" s="12"/>
      <c r="E33" s="12" t="s">
        <v>159</v>
      </c>
    </row>
    <row r="34" customFormat="false" ht="18" hidden="false" customHeight="true" outlineLevel="0" collapsed="false">
      <c r="A34" s="22" t="s">
        <v>160</v>
      </c>
      <c r="B34" s="12" t="s">
        <v>161</v>
      </c>
      <c r="C34" s="23" t="s">
        <v>162</v>
      </c>
      <c r="D34" s="12"/>
      <c r="E34" s="12" t="s">
        <v>162</v>
      </c>
    </row>
    <row r="35" customFormat="false" ht="18" hidden="false" customHeight="true" outlineLevel="0" collapsed="false">
      <c r="A35" s="22" t="s">
        <v>163</v>
      </c>
      <c r="B35" s="12" t="s">
        <v>164</v>
      </c>
      <c r="C35" s="23" t="s">
        <v>165</v>
      </c>
      <c r="D35" s="12"/>
      <c r="E35" s="12" t="s">
        <v>165</v>
      </c>
    </row>
    <row r="36" customFormat="false" ht="30.75" hidden="false" customHeight="true" outlineLevel="0" collapsed="false">
      <c r="A36" s="22" t="s">
        <v>166</v>
      </c>
      <c r="B36" s="12" t="s">
        <v>167</v>
      </c>
      <c r="C36" s="23" t="s">
        <v>168</v>
      </c>
      <c r="D36" s="12" t="s">
        <v>169</v>
      </c>
      <c r="E36" s="12" t="s">
        <v>168</v>
      </c>
    </row>
    <row r="37" customFormat="false" ht="18" hidden="false" customHeight="true" outlineLevel="0" collapsed="false">
      <c r="A37" s="22" t="s">
        <v>170</v>
      </c>
      <c r="B37" s="12" t="s">
        <v>171</v>
      </c>
      <c r="C37" s="23" t="s">
        <v>172</v>
      </c>
      <c r="D37" s="12"/>
      <c r="E37" s="12" t="s">
        <v>172</v>
      </c>
    </row>
    <row r="38" customFormat="false" ht="30.75" hidden="false" customHeight="true" outlineLevel="0" collapsed="false">
      <c r="A38" s="22" t="s">
        <v>173</v>
      </c>
      <c r="B38" s="12" t="s">
        <v>174</v>
      </c>
      <c r="C38" s="23" t="s">
        <v>175</v>
      </c>
      <c r="D38" s="12"/>
      <c r="E38" s="12" t="s">
        <v>175</v>
      </c>
    </row>
    <row r="39" customFormat="false" ht="43.5" hidden="false" customHeight="true" outlineLevel="0" collapsed="false">
      <c r="A39" s="22" t="s">
        <v>176</v>
      </c>
      <c r="B39" s="12" t="s">
        <v>177</v>
      </c>
      <c r="C39" s="23" t="s">
        <v>131</v>
      </c>
      <c r="D39" s="12" t="s">
        <v>178</v>
      </c>
      <c r="E39" s="12" t="s">
        <v>131</v>
      </c>
    </row>
    <row r="40" customFormat="false" ht="30.75" hidden="false" customHeight="true" outlineLevel="0" collapsed="false">
      <c r="A40" s="22" t="s">
        <v>179</v>
      </c>
      <c r="B40" s="12" t="s">
        <v>180</v>
      </c>
      <c r="C40" s="23"/>
      <c r="D40" s="12" t="s">
        <v>181</v>
      </c>
      <c r="E40" s="12" t="s">
        <v>182</v>
      </c>
    </row>
    <row r="41" customFormat="false" ht="30.75" hidden="false" customHeight="true" outlineLevel="0" collapsed="false">
      <c r="A41" s="22" t="s">
        <v>183</v>
      </c>
      <c r="B41" s="12" t="s">
        <v>184</v>
      </c>
      <c r="C41" s="23"/>
      <c r="D41" s="12" t="s">
        <v>185</v>
      </c>
      <c r="E41" s="12" t="s">
        <v>186</v>
      </c>
    </row>
    <row r="42" customFormat="false" ht="30.75" hidden="false" customHeight="true" outlineLevel="0" collapsed="false">
      <c r="A42" s="22" t="s">
        <v>187</v>
      </c>
      <c r="B42" s="12" t="s">
        <v>188</v>
      </c>
      <c r="C42" s="23"/>
      <c r="D42" s="12" t="s">
        <v>189</v>
      </c>
      <c r="E42" s="12" t="s">
        <v>127</v>
      </c>
    </row>
    <row r="43" customFormat="false" ht="43.5" hidden="false" customHeight="true" outlineLevel="0" collapsed="false">
      <c r="A43" s="22" t="s">
        <v>190</v>
      </c>
      <c r="B43" s="12" t="s">
        <v>191</v>
      </c>
      <c r="C43" s="23" t="s">
        <v>192</v>
      </c>
      <c r="D43" s="12" t="s">
        <v>193</v>
      </c>
      <c r="E43" s="12" t="s">
        <v>192</v>
      </c>
    </row>
    <row r="44" customFormat="false" ht="30.75" hidden="false" customHeight="true" outlineLevel="0" collapsed="false">
      <c r="A44" s="22" t="s">
        <v>194</v>
      </c>
      <c r="B44" s="12" t="s">
        <v>195</v>
      </c>
      <c r="C44" s="23" t="s">
        <v>196</v>
      </c>
      <c r="D44" s="12" t="s">
        <v>197</v>
      </c>
      <c r="E44" s="12" t="s">
        <v>196</v>
      </c>
    </row>
    <row r="45" customFormat="false" ht="69.75" hidden="false" customHeight="true" outlineLevel="0" collapsed="false">
      <c r="A45" s="22" t="s">
        <v>198</v>
      </c>
      <c r="B45" s="12" t="s">
        <v>199</v>
      </c>
      <c r="C45" s="23" t="s">
        <v>200</v>
      </c>
      <c r="D45" s="12" t="s">
        <v>201</v>
      </c>
      <c r="E45" s="12" t="s">
        <v>202</v>
      </c>
    </row>
    <row r="46" customFormat="false" ht="30.75" hidden="false" customHeight="true" outlineLevel="0" collapsed="false">
      <c r="A46" s="22" t="s">
        <v>203</v>
      </c>
      <c r="B46" s="12" t="s">
        <v>204</v>
      </c>
      <c r="C46" s="23" t="s">
        <v>205</v>
      </c>
      <c r="D46" s="12" t="s">
        <v>206</v>
      </c>
      <c r="E46" s="12" t="s">
        <v>205</v>
      </c>
    </row>
    <row r="47" customFormat="false" ht="18" hidden="false" customHeight="true" outlineLevel="0" collapsed="false"/>
    <row r="48" customFormat="false" ht="21.75" hidden="false" customHeight="true" outlineLevel="0" collapsed="false">
      <c r="A48" s="8" t="s">
        <v>207</v>
      </c>
      <c r="B48" s="8"/>
      <c r="C48" s="8"/>
      <c r="D48" s="8"/>
      <c r="E48" s="8"/>
    </row>
    <row r="49" customFormat="false" ht="43.5" hidden="false" customHeight="true" outlineLevel="0" collapsed="false">
      <c r="A49" s="2" t="s">
        <v>208</v>
      </c>
      <c r="B49" s="2"/>
      <c r="C49" s="2"/>
      <c r="D49" s="2"/>
      <c r="E49" s="2"/>
    </row>
    <row r="50" customFormat="false" ht="18" hidden="false" customHeight="true" outlineLevel="0" collapsed="false">
      <c r="A50" s="21" t="s">
        <v>81</v>
      </c>
      <c r="B50" s="9" t="s">
        <v>82</v>
      </c>
      <c r="C50" s="9" t="s">
        <v>83</v>
      </c>
      <c r="D50" s="9" t="s">
        <v>84</v>
      </c>
      <c r="E50" s="9" t="s">
        <v>85</v>
      </c>
    </row>
    <row r="51" customFormat="false" ht="18" hidden="false" customHeight="true" outlineLevel="0" collapsed="false">
      <c r="A51" s="22" t="s">
        <v>209</v>
      </c>
      <c r="B51" s="12" t="s">
        <v>210</v>
      </c>
      <c r="C51" s="23"/>
      <c r="D51" s="12" t="s">
        <v>211</v>
      </c>
      <c r="E51" s="12" t="s">
        <v>212</v>
      </c>
    </row>
    <row r="52" customFormat="false" ht="18" hidden="false" customHeight="true" outlineLevel="0" collapsed="false">
      <c r="A52" s="22" t="s">
        <v>213</v>
      </c>
      <c r="B52" s="12" t="s">
        <v>214</v>
      </c>
      <c r="C52" s="23"/>
      <c r="D52" s="12"/>
      <c r="E52" s="12" t="s">
        <v>215</v>
      </c>
    </row>
    <row r="53" customFormat="false" ht="18" hidden="false" customHeight="true" outlineLevel="0" collapsed="false">
      <c r="A53" s="22" t="s">
        <v>216</v>
      </c>
      <c r="B53" s="12" t="s">
        <v>217</v>
      </c>
      <c r="C53" s="23"/>
      <c r="D53" s="12"/>
      <c r="E53" s="12" t="s">
        <v>218</v>
      </c>
    </row>
    <row r="54" customFormat="false" ht="18" hidden="false" customHeight="true" outlineLevel="0" collapsed="false">
      <c r="A54" s="22" t="s">
        <v>219</v>
      </c>
      <c r="B54" s="12" t="s">
        <v>220</v>
      </c>
      <c r="C54" s="23"/>
      <c r="D54" s="12" t="s">
        <v>221</v>
      </c>
      <c r="E54" s="12" t="s">
        <v>222</v>
      </c>
    </row>
    <row r="55" customFormat="false" ht="18" hidden="false" customHeight="true" outlineLevel="0" collapsed="false">
      <c r="A55" s="22" t="s">
        <v>223</v>
      </c>
      <c r="B55" s="12" t="s">
        <v>224</v>
      </c>
      <c r="C55" s="23"/>
      <c r="D55" s="12" t="s">
        <v>225</v>
      </c>
      <c r="E55" s="12" t="s">
        <v>226</v>
      </c>
    </row>
    <row r="56" customFormat="false" ht="18" hidden="false" customHeight="true" outlineLevel="0" collapsed="false">
      <c r="A56" s="22" t="s">
        <v>227</v>
      </c>
      <c r="B56" s="12" t="s">
        <v>228</v>
      </c>
      <c r="C56" s="23"/>
      <c r="D56" s="12"/>
      <c r="E56" s="12" t="s">
        <v>229</v>
      </c>
    </row>
    <row r="57" customFormat="false" ht="30.75" hidden="false" customHeight="true" outlineLevel="0" collapsed="false">
      <c r="A57" s="22" t="s">
        <v>230</v>
      </c>
      <c r="B57" s="12" t="s">
        <v>231</v>
      </c>
      <c r="C57" s="23"/>
      <c r="D57" s="12" t="s">
        <v>232</v>
      </c>
      <c r="E57" s="12" t="s">
        <v>196</v>
      </c>
    </row>
    <row r="58" customFormat="false" ht="18" hidden="false" customHeight="true" outlineLevel="0" collapsed="false">
      <c r="A58" s="22" t="s">
        <v>233</v>
      </c>
      <c r="B58" s="12" t="s">
        <v>234</v>
      </c>
      <c r="C58" s="23"/>
      <c r="D58" s="12" t="s">
        <v>235</v>
      </c>
      <c r="E58" s="12" t="s">
        <v>236</v>
      </c>
    </row>
    <row r="59" customFormat="false" ht="18" hidden="false" customHeight="true" outlineLevel="0" collapsed="false">
      <c r="A59" s="22" t="s">
        <v>237</v>
      </c>
      <c r="B59" s="12" t="s">
        <v>238</v>
      </c>
      <c r="C59" s="23"/>
      <c r="D59" s="12"/>
      <c r="E59" s="12" t="s">
        <v>196</v>
      </c>
    </row>
    <row r="60" customFormat="false" ht="18" hidden="false" customHeight="true" outlineLevel="0" collapsed="false">
      <c r="A60" s="22" t="s">
        <v>239</v>
      </c>
      <c r="B60" s="12" t="s">
        <v>240</v>
      </c>
      <c r="C60" s="23"/>
      <c r="D60" s="12"/>
      <c r="E60" s="12" t="s">
        <v>241</v>
      </c>
    </row>
    <row r="61" customFormat="false" ht="18" hidden="false" customHeight="true" outlineLevel="0" collapsed="false">
      <c r="A61" s="22" t="s">
        <v>242</v>
      </c>
      <c r="B61" s="12" t="s">
        <v>243</v>
      </c>
      <c r="C61" s="23"/>
      <c r="D61" s="12" t="s">
        <v>244</v>
      </c>
      <c r="E61" s="12" t="s">
        <v>245</v>
      </c>
    </row>
    <row r="62" customFormat="false" ht="18" hidden="false" customHeight="true" outlineLevel="0" collapsed="false">
      <c r="A62" s="22" t="s">
        <v>246</v>
      </c>
      <c r="B62" s="12" t="s">
        <v>247</v>
      </c>
      <c r="C62" s="23"/>
      <c r="D62" s="12"/>
      <c r="E62" s="12" t="s">
        <v>248</v>
      </c>
    </row>
    <row r="63" customFormat="false" ht="18" hidden="false" customHeight="true" outlineLevel="0" collapsed="false">
      <c r="A63" s="22" t="s">
        <v>249</v>
      </c>
      <c r="B63" s="12" t="s">
        <v>250</v>
      </c>
      <c r="C63" s="23"/>
      <c r="D63" s="12" t="s">
        <v>251</v>
      </c>
      <c r="E63" s="12" t="s">
        <v>252</v>
      </c>
    </row>
    <row r="64" customFormat="false" ht="30.75" hidden="false" customHeight="true" outlineLevel="0" collapsed="false">
      <c r="A64" s="22" t="s">
        <v>253</v>
      </c>
      <c r="B64" s="12" t="s">
        <v>254</v>
      </c>
      <c r="C64" s="23"/>
      <c r="D64" s="12" t="s">
        <v>255</v>
      </c>
      <c r="E64" s="12" t="s">
        <v>256</v>
      </c>
    </row>
    <row r="65" customFormat="false" ht="30.75" hidden="false" customHeight="true" outlineLevel="0" collapsed="false">
      <c r="A65" s="22" t="s">
        <v>257</v>
      </c>
      <c r="B65" s="12" t="s">
        <v>258</v>
      </c>
      <c r="C65" s="23"/>
      <c r="D65" s="12" t="s">
        <v>259</v>
      </c>
      <c r="E65" s="12" t="s">
        <v>260</v>
      </c>
    </row>
    <row r="66" customFormat="false" ht="18" hidden="false" customHeight="true" outlineLevel="0" collapsed="false">
      <c r="A66" s="22" t="s">
        <v>261</v>
      </c>
      <c r="B66" s="12" t="s">
        <v>262</v>
      </c>
      <c r="C66" s="23"/>
      <c r="D66" s="12" t="s">
        <v>263</v>
      </c>
      <c r="E66" s="12" t="s">
        <v>264</v>
      </c>
    </row>
    <row r="67" customFormat="false" ht="18" hidden="false" customHeight="true" outlineLevel="0" collapsed="false">
      <c r="A67" s="22" t="s">
        <v>265</v>
      </c>
      <c r="B67" s="12" t="s">
        <v>266</v>
      </c>
      <c r="C67" s="23"/>
      <c r="D67" s="12" t="s">
        <v>267</v>
      </c>
      <c r="E67" s="12" t="s">
        <v>268</v>
      </c>
    </row>
    <row r="68" customFormat="false" ht="30.75" hidden="false" customHeight="true" outlineLevel="0" collapsed="false">
      <c r="A68" s="22" t="s">
        <v>269</v>
      </c>
      <c r="B68" s="12" t="s">
        <v>270</v>
      </c>
      <c r="C68" s="23"/>
      <c r="D68" s="12" t="s">
        <v>271</v>
      </c>
      <c r="E68" s="12" t="s">
        <v>272</v>
      </c>
    </row>
    <row r="69" customFormat="false" ht="18" hidden="false" customHeight="true" outlineLevel="0" collapsed="false">
      <c r="A69" s="22" t="s">
        <v>273</v>
      </c>
      <c r="B69" s="12" t="s">
        <v>274</v>
      </c>
      <c r="C69" s="23"/>
      <c r="D69" s="12" t="s">
        <v>275</v>
      </c>
      <c r="E69" s="12" t="s">
        <v>276</v>
      </c>
    </row>
    <row r="70" customFormat="false" ht="18" hidden="false" customHeight="true" outlineLevel="0" collapsed="false"/>
    <row r="71" customFormat="false" ht="21.75" hidden="false" customHeight="true" outlineLevel="0" collapsed="false">
      <c r="A71" s="8" t="s">
        <v>277</v>
      </c>
      <c r="B71" s="8"/>
      <c r="C71" s="8"/>
      <c r="D71" s="8"/>
      <c r="E71" s="8"/>
    </row>
    <row r="72" customFormat="false" ht="18" hidden="false" customHeight="true" outlineLevel="0" collapsed="false">
      <c r="A72" s="2" t="s">
        <v>278</v>
      </c>
      <c r="B72" s="2"/>
      <c r="C72" s="2"/>
      <c r="D72" s="2"/>
      <c r="E72" s="2"/>
    </row>
    <row r="73" customFormat="false" ht="18" hidden="false" customHeight="true" outlineLevel="0" collapsed="false">
      <c r="A73" s="21" t="s">
        <v>81</v>
      </c>
      <c r="B73" s="9" t="s">
        <v>82</v>
      </c>
      <c r="C73" s="9" t="s">
        <v>83</v>
      </c>
      <c r="D73" s="9" t="s">
        <v>84</v>
      </c>
      <c r="E73" s="9" t="s">
        <v>85</v>
      </c>
    </row>
    <row r="74" customFormat="false" ht="30.75" hidden="false" customHeight="true" outlineLevel="0" collapsed="false">
      <c r="A74" s="22" t="s">
        <v>279</v>
      </c>
      <c r="B74" s="12" t="s">
        <v>280</v>
      </c>
      <c r="C74" s="23" t="s">
        <v>281</v>
      </c>
      <c r="D74" s="12" t="s">
        <v>282</v>
      </c>
      <c r="E74" s="12" t="s">
        <v>281</v>
      </c>
    </row>
    <row r="75" customFormat="false" ht="30.75" hidden="false" customHeight="true" outlineLevel="0" collapsed="false">
      <c r="A75" s="22" t="s">
        <v>283</v>
      </c>
      <c r="B75" s="12" t="s">
        <v>284</v>
      </c>
      <c r="C75" s="23" t="s">
        <v>285</v>
      </c>
      <c r="D75" s="12" t="s">
        <v>286</v>
      </c>
      <c r="E75" s="12" t="s">
        <v>285</v>
      </c>
    </row>
    <row r="76" customFormat="false" ht="57" hidden="false" customHeight="true" outlineLevel="0" collapsed="false">
      <c r="A76" s="22" t="s">
        <v>287</v>
      </c>
      <c r="B76" s="12" t="s">
        <v>288</v>
      </c>
      <c r="C76" s="23" t="s">
        <v>289</v>
      </c>
      <c r="D76" s="12" t="s">
        <v>290</v>
      </c>
      <c r="E76" s="12" t="s">
        <v>289</v>
      </c>
    </row>
    <row r="77" customFormat="false" ht="30.75" hidden="false" customHeight="true" outlineLevel="0" collapsed="false">
      <c r="A77" s="22" t="s">
        <v>291</v>
      </c>
      <c r="B77" s="12" t="s">
        <v>292</v>
      </c>
      <c r="C77" s="23" t="s">
        <v>293</v>
      </c>
      <c r="D77" s="12" t="s">
        <v>294</v>
      </c>
      <c r="E77" s="12" t="s">
        <v>293</v>
      </c>
    </row>
    <row r="78" customFormat="false" ht="43.5" hidden="false" customHeight="true" outlineLevel="0" collapsed="false">
      <c r="A78" s="22" t="s">
        <v>295</v>
      </c>
      <c r="B78" s="12" t="s">
        <v>296</v>
      </c>
      <c r="C78" s="23" t="s">
        <v>297</v>
      </c>
      <c r="D78" s="12" t="s">
        <v>298</v>
      </c>
      <c r="E78" s="12" t="s">
        <v>202</v>
      </c>
    </row>
    <row r="79" customFormat="false" ht="18" hidden="false" customHeight="true" outlineLevel="0" collapsed="false"/>
    <row r="80" customFormat="false" ht="21.75" hidden="false" customHeight="true" outlineLevel="0" collapsed="false">
      <c r="A80" s="8" t="s">
        <v>299</v>
      </c>
      <c r="B80" s="8"/>
      <c r="C80" s="8"/>
      <c r="D80" s="8"/>
      <c r="E80" s="8"/>
    </row>
    <row r="81" customFormat="false" ht="18" hidden="false" customHeight="true" outlineLevel="0" collapsed="false">
      <c r="A81" s="2" t="s">
        <v>300</v>
      </c>
      <c r="B81" s="2"/>
      <c r="C81" s="2"/>
      <c r="D81" s="2"/>
      <c r="E81" s="2"/>
    </row>
    <row r="82" customFormat="false" ht="18" hidden="false" customHeight="true" outlineLevel="0" collapsed="false">
      <c r="A82" s="21" t="s">
        <v>81</v>
      </c>
      <c r="B82" s="9" t="s">
        <v>82</v>
      </c>
      <c r="C82" s="9" t="s">
        <v>83</v>
      </c>
      <c r="D82" s="9" t="s">
        <v>84</v>
      </c>
      <c r="E82" s="9" t="s">
        <v>85</v>
      </c>
    </row>
    <row r="83" customFormat="false" ht="30.75" hidden="false" customHeight="true" outlineLevel="0" collapsed="false">
      <c r="A83" s="22" t="s">
        <v>301</v>
      </c>
      <c r="B83" s="12" t="s">
        <v>302</v>
      </c>
      <c r="C83" s="23"/>
      <c r="D83" s="12" t="s">
        <v>303</v>
      </c>
      <c r="E83" s="12" t="s">
        <v>304</v>
      </c>
    </row>
    <row r="84" customFormat="false" ht="30.75" hidden="false" customHeight="true" outlineLevel="0" collapsed="false">
      <c r="A84" s="22" t="s">
        <v>305</v>
      </c>
      <c r="B84" s="12" t="s">
        <v>306</v>
      </c>
      <c r="C84" s="23" t="s">
        <v>307</v>
      </c>
      <c r="D84" s="12" t="s">
        <v>308</v>
      </c>
      <c r="E84" s="12" t="s">
        <v>307</v>
      </c>
    </row>
    <row r="85" customFormat="false" ht="18" hidden="false" customHeight="true" outlineLevel="0" collapsed="false"/>
    <row r="86" customFormat="false" ht="21.75" hidden="false" customHeight="true" outlineLevel="0" collapsed="false">
      <c r="A86" s="8" t="s">
        <v>309</v>
      </c>
      <c r="B86" s="8"/>
      <c r="C86" s="8"/>
      <c r="D86" s="8"/>
      <c r="E86" s="8"/>
    </row>
    <row r="87" customFormat="false" ht="18" hidden="false" customHeight="true" outlineLevel="0" collapsed="false">
      <c r="A87" s="2" t="s">
        <v>310</v>
      </c>
      <c r="B87" s="2"/>
      <c r="C87" s="2"/>
      <c r="D87" s="2"/>
      <c r="E87" s="2"/>
    </row>
    <row r="88" customFormat="false" ht="18" hidden="false" customHeight="true" outlineLevel="0" collapsed="false">
      <c r="A88" s="21" t="s">
        <v>81</v>
      </c>
      <c r="B88" s="9" t="s">
        <v>82</v>
      </c>
      <c r="C88" s="9" t="s">
        <v>83</v>
      </c>
      <c r="D88" s="9" t="s">
        <v>84</v>
      </c>
      <c r="E88" s="9" t="s">
        <v>85</v>
      </c>
    </row>
    <row r="89" customFormat="false" ht="30.75" hidden="false" customHeight="true" outlineLevel="0" collapsed="false">
      <c r="A89" s="22" t="s">
        <v>311</v>
      </c>
      <c r="B89" s="12" t="s">
        <v>312</v>
      </c>
      <c r="C89" s="23" t="s">
        <v>313</v>
      </c>
      <c r="D89" s="12" t="s">
        <v>314</v>
      </c>
      <c r="E89" s="12" t="s">
        <v>313</v>
      </c>
    </row>
    <row r="90" customFormat="false" ht="30.75" hidden="false" customHeight="true" outlineLevel="0" collapsed="false">
      <c r="A90" s="22" t="s">
        <v>315</v>
      </c>
      <c r="B90" s="12" t="s">
        <v>316</v>
      </c>
      <c r="C90" s="23" t="s">
        <v>317</v>
      </c>
      <c r="D90" s="12" t="s">
        <v>318</v>
      </c>
      <c r="E90" s="12" t="s">
        <v>317</v>
      </c>
    </row>
    <row r="91" customFormat="false" ht="30.75" hidden="false" customHeight="true" outlineLevel="0" collapsed="false">
      <c r="A91" s="22" t="s">
        <v>319</v>
      </c>
      <c r="B91" s="12" t="s">
        <v>320</v>
      </c>
      <c r="C91" s="23" t="s">
        <v>321</v>
      </c>
      <c r="D91" s="12" t="s">
        <v>322</v>
      </c>
      <c r="E91" s="12" t="s">
        <v>321</v>
      </c>
    </row>
    <row r="92" customFormat="false" ht="18" hidden="false" customHeight="true" outlineLevel="0" collapsed="false">
      <c r="A92" s="22" t="s">
        <v>323</v>
      </c>
      <c r="B92" s="12" t="s">
        <v>324</v>
      </c>
      <c r="C92" s="23" t="s">
        <v>325</v>
      </c>
      <c r="D92" s="12" t="s">
        <v>326</v>
      </c>
      <c r="E92" s="12" t="s">
        <v>325</v>
      </c>
    </row>
    <row r="93" customFormat="false" ht="18" hidden="false" customHeight="true" outlineLevel="0" collapsed="false">
      <c r="A93" s="22" t="s">
        <v>327</v>
      </c>
      <c r="B93" s="12" t="s">
        <v>328</v>
      </c>
      <c r="C93" s="23" t="s">
        <v>329</v>
      </c>
      <c r="D93" s="12" t="s">
        <v>330</v>
      </c>
      <c r="E93" s="12" t="s">
        <v>329</v>
      </c>
    </row>
    <row r="94" customFormat="false" ht="18" hidden="false" customHeight="true" outlineLevel="0" collapsed="false">
      <c r="A94" s="22" t="s">
        <v>331</v>
      </c>
      <c r="B94" s="12" t="s">
        <v>332</v>
      </c>
      <c r="C94" s="23" t="s">
        <v>333</v>
      </c>
      <c r="D94" s="12" t="s">
        <v>330</v>
      </c>
      <c r="E94" s="12" t="s">
        <v>333</v>
      </c>
    </row>
    <row r="95" customFormat="false" ht="18" hidden="false" customHeight="true" outlineLevel="0" collapsed="false">
      <c r="A95" s="22" t="s">
        <v>334</v>
      </c>
      <c r="B95" s="12" t="s">
        <v>335</v>
      </c>
      <c r="C95" s="23" t="s">
        <v>336</v>
      </c>
      <c r="D95" s="12" t="s">
        <v>330</v>
      </c>
      <c r="E95" s="12" t="s">
        <v>336</v>
      </c>
    </row>
    <row r="96" customFormat="false" ht="18" hidden="false" customHeight="true" outlineLevel="0" collapsed="false">
      <c r="A96" s="22" t="s">
        <v>337</v>
      </c>
      <c r="B96" s="12" t="s">
        <v>338</v>
      </c>
      <c r="C96" s="23" t="s">
        <v>339</v>
      </c>
      <c r="D96" s="12"/>
      <c r="E96" s="12" t="s">
        <v>339</v>
      </c>
    </row>
    <row r="97" customFormat="false" ht="30.75" hidden="false" customHeight="true" outlineLevel="0" collapsed="false">
      <c r="A97" s="22" t="s">
        <v>340</v>
      </c>
      <c r="B97" s="12" t="s">
        <v>341</v>
      </c>
      <c r="C97" s="23" t="s">
        <v>196</v>
      </c>
      <c r="D97" s="12" t="s">
        <v>342</v>
      </c>
      <c r="E97" s="12" t="s">
        <v>196</v>
      </c>
    </row>
    <row r="98" customFormat="false" ht="30.75" hidden="false" customHeight="true" outlineLevel="0" collapsed="false">
      <c r="A98" s="22" t="s">
        <v>343</v>
      </c>
      <c r="B98" s="12" t="s">
        <v>344</v>
      </c>
      <c r="C98" s="23" t="s">
        <v>196</v>
      </c>
      <c r="D98" s="12" t="s">
        <v>345</v>
      </c>
      <c r="E98" s="12" t="s">
        <v>196</v>
      </c>
    </row>
    <row r="99" customFormat="false" ht="30.75" hidden="false" customHeight="true" outlineLevel="0" collapsed="false">
      <c r="A99" s="22" t="s">
        <v>346</v>
      </c>
      <c r="B99" s="12" t="s">
        <v>347</v>
      </c>
      <c r="C99" s="24" t="n">
        <v>4</v>
      </c>
      <c r="D99" s="12" t="s">
        <v>348</v>
      </c>
      <c r="E99" s="12" t="s">
        <v>349</v>
      </c>
    </row>
  </sheetData>
  <mergeCells count="16">
    <mergeCell ref="A1:E1"/>
    <mergeCell ref="A3:E3"/>
    <mergeCell ref="B5:E5"/>
    <mergeCell ref="B6:E6"/>
    <mergeCell ref="B7:E7"/>
    <mergeCell ref="A9:E9"/>
    <mergeCell ref="A21:E21"/>
    <mergeCell ref="A22:E22"/>
    <mergeCell ref="A48:E48"/>
    <mergeCell ref="A49:E49"/>
    <mergeCell ref="A71:E71"/>
    <mergeCell ref="A72:E72"/>
    <mergeCell ref="A80:E80"/>
    <mergeCell ref="A81:E81"/>
    <mergeCell ref="A86:E86"/>
    <mergeCell ref="A87:E87"/>
  </mergeCells>
  <dataValidations count="9">
    <dataValidation allowBlank="true" error="Pick one of the listed values" errorStyle="stop" errorTitle="Pick from the list" operator="between" showDropDown="false" showErrorMessage="true" showInputMessage="false" sqref="C16" type="list">
      <formula1>Lists!$B$2:$B$5</formula1>
      <formula2>0</formula2>
    </dataValidation>
    <dataValidation allowBlank="true" error="Pick one of the listed values" errorStyle="stop" errorTitle="Pick from the list" operator="between" showDropDown="false" showErrorMessage="true" showInputMessage="false" sqref="C18" type="list">
      <formula1>"Published,In draft,None"</formula1>
      <formula2>0</formula2>
    </dataValidation>
    <dataValidation allowBlank="true" error="Pick one of the listed values" errorStyle="stop" errorTitle="Pick from the list" operator="between" showDropDown="false" showErrorMessage="true" showInputMessage="false" sqref="C26" type="list">
      <formula1>"Yes,No,In formation"</formula1>
      <formula2>0</formula2>
    </dataValidation>
    <dataValidation allowBlank="true" error="Pick one of the listed values" errorStyle="stop" errorTitle="Pick from the list" operator="between" showDropDown="false" showErrorMessage="true" showInputMessage="false" sqref="C32:C35" type="list">
      <formula1>"Monthly,Quarterly,Every six months,Yearly,At renewal"</formula1>
      <formula2>0</formula2>
    </dataValidation>
    <dataValidation allowBlank="true" error="Pick one of the listed values" errorStyle="stop" errorTitle="Pick from the list" operator="between" showDropDown="false" showErrorMessage="true" showInputMessage="false" sqref="C74" type="list">
      <formula1>"Vendor-signed servers only,Vendor-signed and reviewed community servers,Any server after security review,No MCP yet,None set"</formula1>
      <formula2>0</formula2>
    </dataValidation>
    <dataValidation allowBlank="true" error="Pick one of the listed values" errorStyle="stop" errorTitle="Pick from the list" operator="between" showDropDown="false" showErrorMessage="true" showInputMessage="false" sqref="C76" type="list">
      <formula1>"Public,Internal,Confidential,Restricted"</formula1>
      <formula2>0</formula2>
    </dataValidation>
    <dataValidation allowBlank="true" error="Pick one of the listed values" errorStyle="stop" errorTitle="Pick from the list" operator="between" showDropDown="false" showErrorMessage="true" showInputMessage="false" sqref="C77" type="list">
      <formula1>"No autonomy: a person prompts each action,Scoped autonomy with a person approving every write,Autonomous within an allowlist; a person approves Severe actions only,Fully autonomous"</formula1>
      <formula2>0</formula2>
    </dataValidation>
    <dataValidation allowBlank="true" error="Pick one of the listed values" errorStyle="stop" errorTitle="Pick from the list" operator="between" showDropDown="false" showErrorMessage="true" showInputMessage="false" sqref="C84" type="list">
      <formula1>"Keep on a manual review path,Ask the vendor for permission first,Decide case by case"</formula1>
      <formula2>0</formula2>
    </dataValidation>
    <dataValidation allowBlank="true" error="Pick one of the listed values" errorStyle="stop" errorTitle="Pick from the list" operator="between" showDropDown="false" showErrorMessage="true" showInputMessage="false" sqref="C90" type="list">
      <formula1>"Excel record,Word document,Summary in chat"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0" topLeftCell="B31" activePane="bottomRight" state="frozen"/>
      <selection pane="topLeft" activeCell="A1" activeCellId="0" sqref="A1"/>
      <selection pane="topRight" activeCell="B1" activeCellId="0" sqref="B1"/>
      <selection pane="bottomLeft" activeCell="A31" activeCellId="0" sqref="A31"/>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4" min="3" style="0" width="11"/>
    <col collapsed="false" customWidth="true" hidden="false" outlineLevel="0" max="5" min="5" style="0" width="52"/>
    <col collapsed="false" customWidth="true" hidden="false" outlineLevel="0" max="6" min="6" style="0" width="26"/>
    <col collapsed="false" customWidth="true" hidden="false" outlineLevel="0" max="8" min="7" style="0" width="30"/>
    <col collapsed="false" customWidth="true" hidden="false" outlineLevel="0" max="9" min="9" style="0" width="9"/>
  </cols>
  <sheetData>
    <row r="1" customFormat="false" ht="27.75" hidden="false" customHeight="true" outlineLevel="0" collapsed="false">
      <c r="A1" s="1" t="s">
        <v>350</v>
      </c>
      <c r="B1" s="1"/>
      <c r="C1" s="1"/>
      <c r="D1" s="1"/>
      <c r="E1" s="1"/>
      <c r="F1" s="1"/>
      <c r="G1" s="1"/>
      <c r="H1" s="1"/>
      <c r="I1" s="1"/>
    </row>
    <row r="2" customFormat="false" ht="18" hidden="false" customHeight="true" outlineLevel="0" collapsed="false"/>
    <row r="3" customFormat="false" ht="30.75" hidden="false" customHeight="true" outlineLevel="0" collapsed="false">
      <c r="A3" s="2" t="s">
        <v>351</v>
      </c>
      <c r="B3" s="2"/>
      <c r="C3" s="2"/>
      <c r="D3" s="2"/>
      <c r="E3" s="2"/>
      <c r="F3" s="2"/>
      <c r="G3" s="2"/>
      <c r="H3" s="2"/>
      <c r="I3" s="2"/>
    </row>
    <row r="4" customFormat="false" ht="18" hidden="false" customHeight="true" outlineLevel="0" collapsed="false"/>
    <row r="5" customFormat="false" ht="18" hidden="false" customHeight="true" outlineLevel="0" collapsed="false">
      <c r="A5" s="3" t="s">
        <v>2</v>
      </c>
      <c r="B5" s="4" t="s">
        <v>352</v>
      </c>
      <c r="C5" s="4"/>
      <c r="D5" s="4"/>
      <c r="E5" s="4"/>
      <c r="F5" s="4"/>
      <c r="G5" s="4"/>
      <c r="H5" s="4"/>
      <c r="I5" s="4"/>
    </row>
    <row r="6" customFormat="false" ht="18" hidden="false" customHeight="true" outlineLevel="0" collapsed="false">
      <c r="A6" s="5" t="s">
        <v>4</v>
      </c>
      <c r="B6" s="4" t="s">
        <v>353</v>
      </c>
      <c r="C6" s="4"/>
      <c r="D6" s="4"/>
      <c r="E6" s="4"/>
      <c r="F6" s="4"/>
      <c r="G6" s="4"/>
      <c r="H6" s="4"/>
      <c r="I6" s="4"/>
    </row>
    <row r="7" customFormat="false" ht="18" hidden="false" customHeight="true" outlineLevel="0" collapsed="false"/>
    <row r="8" customFormat="false" ht="21.75" hidden="false" customHeight="true" outlineLevel="0" collapsed="false">
      <c r="A8" s="8" t="s">
        <v>354</v>
      </c>
      <c r="B8" s="8"/>
      <c r="C8" s="8"/>
      <c r="D8" s="8"/>
      <c r="E8" s="8"/>
      <c r="F8" s="8"/>
      <c r="G8" s="8"/>
      <c r="H8" s="8"/>
      <c r="I8" s="8"/>
    </row>
    <row r="9" customFormat="false" ht="18" hidden="false" customHeight="true" outlineLevel="0" collapsed="false">
      <c r="A9" s="2" t="s">
        <v>355</v>
      </c>
      <c r="B9" s="2"/>
      <c r="C9" s="2"/>
      <c r="D9" s="2"/>
      <c r="E9" s="2"/>
      <c r="F9" s="2"/>
      <c r="G9" s="2"/>
      <c r="H9" s="2"/>
      <c r="I9" s="2"/>
    </row>
    <row r="10" customFormat="false" ht="18" hidden="false" customHeight="true" outlineLevel="0" collapsed="false">
      <c r="A10" s="21" t="s">
        <v>356</v>
      </c>
      <c r="B10" s="9" t="s">
        <v>357</v>
      </c>
      <c r="C10" s="9" t="s">
        <v>54</v>
      </c>
      <c r="D10" s="9" t="s">
        <v>55</v>
      </c>
      <c r="E10" s="9" t="s">
        <v>56</v>
      </c>
      <c r="F10" s="9"/>
      <c r="G10" s="9" t="s">
        <v>57</v>
      </c>
      <c r="H10" s="9"/>
      <c r="I10" s="9"/>
    </row>
    <row r="11" customFormat="false" ht="69.75" hidden="false" customHeight="true" outlineLevel="0" collapsed="false">
      <c r="A11" s="22" t="s">
        <v>358</v>
      </c>
      <c r="B11" s="13" t="s">
        <v>359</v>
      </c>
      <c r="C11" s="25" t="s">
        <v>360</v>
      </c>
      <c r="D11" s="26" t="s">
        <v>361</v>
      </c>
      <c r="E11" s="27" t="s">
        <v>362</v>
      </c>
      <c r="F11" s="27"/>
      <c r="G11" s="28" t="s">
        <v>363</v>
      </c>
      <c r="H11" s="28"/>
      <c r="I11" s="28"/>
    </row>
    <row r="12" customFormat="false" ht="43.5" hidden="false" customHeight="true" outlineLevel="0" collapsed="false">
      <c r="A12" s="22" t="s">
        <v>358</v>
      </c>
      <c r="B12" s="13" t="s">
        <v>364</v>
      </c>
      <c r="C12" s="25" t="s">
        <v>365</v>
      </c>
      <c r="D12" s="26" t="s">
        <v>366</v>
      </c>
      <c r="E12" s="27" t="s">
        <v>367</v>
      </c>
      <c r="F12" s="27"/>
      <c r="G12" s="28" t="s">
        <v>368</v>
      </c>
      <c r="H12" s="28"/>
      <c r="I12" s="28"/>
    </row>
    <row r="13" customFormat="false" ht="43.5" hidden="false" customHeight="true" outlineLevel="0" collapsed="false">
      <c r="A13" s="22" t="s">
        <v>358</v>
      </c>
      <c r="B13" s="13" t="s">
        <v>369</v>
      </c>
      <c r="C13" s="25" t="s">
        <v>370</v>
      </c>
      <c r="D13" s="26" t="s">
        <v>371</v>
      </c>
      <c r="E13" s="27" t="s">
        <v>372</v>
      </c>
      <c r="F13" s="27"/>
      <c r="G13" s="28" t="s">
        <v>373</v>
      </c>
      <c r="H13" s="28"/>
      <c r="I13" s="28"/>
    </row>
    <row r="14" customFormat="false" ht="57" hidden="false" customHeight="true" outlineLevel="0" collapsed="false">
      <c r="A14" s="22" t="s">
        <v>358</v>
      </c>
      <c r="B14" s="13" t="s">
        <v>374</v>
      </c>
      <c r="C14" s="25" t="s">
        <v>375</v>
      </c>
      <c r="D14" s="26" t="s">
        <v>376</v>
      </c>
      <c r="E14" s="27" t="s">
        <v>377</v>
      </c>
      <c r="F14" s="27"/>
      <c r="G14" s="28" t="s">
        <v>378</v>
      </c>
      <c r="H14" s="28"/>
      <c r="I14" s="28"/>
    </row>
    <row r="15" customFormat="false" ht="43.5" hidden="false" customHeight="true" outlineLevel="0" collapsed="false">
      <c r="A15" s="22" t="s">
        <v>358</v>
      </c>
      <c r="B15" s="13" t="s">
        <v>379</v>
      </c>
      <c r="C15" s="25" t="s">
        <v>380</v>
      </c>
      <c r="D15" s="26" t="s">
        <v>381</v>
      </c>
      <c r="E15" s="27" t="s">
        <v>382</v>
      </c>
      <c r="F15" s="27"/>
      <c r="G15" s="28" t="s">
        <v>383</v>
      </c>
      <c r="H15" s="28"/>
      <c r="I15" s="28"/>
    </row>
    <row r="16" customFormat="false" ht="43.5" hidden="false" customHeight="true" outlineLevel="0" collapsed="false">
      <c r="A16" s="22" t="s">
        <v>358</v>
      </c>
      <c r="B16" s="13" t="s">
        <v>384</v>
      </c>
      <c r="C16" s="25" t="s">
        <v>385</v>
      </c>
      <c r="D16" s="26" t="s">
        <v>386</v>
      </c>
      <c r="E16" s="27" t="s">
        <v>387</v>
      </c>
      <c r="F16" s="27"/>
      <c r="G16" s="28" t="s">
        <v>388</v>
      </c>
      <c r="H16" s="28"/>
      <c r="I16" s="28"/>
    </row>
    <row r="17" customFormat="false" ht="69.75" hidden="false" customHeight="true" outlineLevel="0" collapsed="false">
      <c r="A17" s="22" t="s">
        <v>358</v>
      </c>
      <c r="B17" s="13" t="s">
        <v>389</v>
      </c>
      <c r="C17" s="25" t="s">
        <v>390</v>
      </c>
      <c r="D17" s="26" t="s">
        <v>391</v>
      </c>
      <c r="E17" s="27" t="s">
        <v>293</v>
      </c>
      <c r="F17" s="27"/>
      <c r="G17" s="28" t="s">
        <v>392</v>
      </c>
      <c r="H17" s="28"/>
      <c r="I17" s="28"/>
    </row>
    <row r="18" customFormat="false" ht="18" hidden="false" customHeight="true" outlineLevel="0" collapsed="false">
      <c r="A18" s="19" t="s">
        <v>393</v>
      </c>
      <c r="B18" s="19"/>
      <c r="C18" s="19"/>
      <c r="D18" s="19"/>
      <c r="E18" s="19"/>
      <c r="F18" s="19"/>
      <c r="G18" s="19"/>
      <c r="H18" s="19"/>
      <c r="I18" s="19"/>
    </row>
    <row r="19" customFormat="false" ht="18" hidden="false" customHeight="true" outlineLevel="0" collapsed="false"/>
    <row r="20" customFormat="false" ht="21.75" hidden="false" customHeight="true" outlineLevel="0" collapsed="false">
      <c r="A20" s="8" t="s">
        <v>394</v>
      </c>
      <c r="B20" s="8"/>
      <c r="C20" s="8"/>
      <c r="D20" s="8"/>
      <c r="E20" s="8"/>
      <c r="F20" s="8"/>
      <c r="G20" s="8"/>
      <c r="H20" s="8"/>
      <c r="I20" s="8"/>
    </row>
    <row r="21" customFormat="false" ht="18" hidden="false" customHeight="true" outlineLevel="0" collapsed="false">
      <c r="A21" s="2" t="s">
        <v>395</v>
      </c>
      <c r="B21" s="2"/>
      <c r="C21" s="2"/>
      <c r="D21" s="2"/>
      <c r="E21" s="2"/>
      <c r="F21" s="2"/>
      <c r="G21" s="2"/>
      <c r="H21" s="2"/>
      <c r="I21" s="2"/>
    </row>
    <row r="22" customFormat="false" ht="18" hidden="false" customHeight="true" outlineLevel="0" collapsed="false">
      <c r="A22" s="9" t="s">
        <v>50</v>
      </c>
      <c r="B22" s="9" t="s">
        <v>51</v>
      </c>
      <c r="C22" s="9"/>
      <c r="D22" s="9"/>
      <c r="E22" s="9" t="s">
        <v>52</v>
      </c>
      <c r="F22" s="9"/>
      <c r="G22" s="9" t="s">
        <v>53</v>
      </c>
      <c r="H22" s="9"/>
      <c r="I22" s="9"/>
    </row>
    <row r="23" customFormat="false" ht="18" hidden="false" customHeight="true" outlineLevel="0" collapsed="false">
      <c r="A23" s="14" t="s">
        <v>54</v>
      </c>
      <c r="B23" s="15" t="str">
        <f aca="false">'Org Profile'!C28</f>
        <v>Security reviewer</v>
      </c>
      <c r="C23" s="15"/>
      <c r="D23" s="15"/>
      <c r="E23" s="15" t="str">
        <f aca="false">'Org Profile'!C32</f>
        <v>Yearly</v>
      </c>
      <c r="F23" s="15"/>
      <c r="G23" s="15" t="str">
        <f aca="false">'Org Profile'!C36</f>
        <v>The business owner of the use case</v>
      </c>
      <c r="H23" s="15"/>
      <c r="I23" s="15"/>
    </row>
    <row r="24" customFormat="false" ht="18" hidden="false" customHeight="true" outlineLevel="0" collapsed="false">
      <c r="A24" s="16" t="s">
        <v>55</v>
      </c>
      <c r="B24" s="15" t="str">
        <f aca="false">'Org Profile'!C29</f>
        <v>Department lead with security review</v>
      </c>
      <c r="C24" s="15"/>
      <c r="D24" s="15"/>
      <c r="E24" s="15" t="str">
        <f aca="false">'Org Profile'!C33</f>
        <v>Every six months</v>
      </c>
      <c r="F24" s="15"/>
      <c r="G24" s="15" t="str">
        <f aca="false">'Org Profile'!C36</f>
        <v>The business owner of the use case</v>
      </c>
      <c r="H24" s="15"/>
      <c r="I24" s="15"/>
    </row>
    <row r="25" customFormat="false" ht="18" hidden="false" customHeight="true" outlineLevel="0" collapsed="false">
      <c r="A25" s="17" t="s">
        <v>56</v>
      </c>
      <c r="B25" s="15" t="str">
        <f aca="false">'Org Profile'!C30</f>
        <v>AI governance committee</v>
      </c>
      <c r="C25" s="15"/>
      <c r="D25" s="15"/>
      <c r="E25" s="15" t="str">
        <f aca="false">'Org Profile'!C34</f>
        <v>Quarterly</v>
      </c>
      <c r="F25" s="15"/>
      <c r="G25" s="15" t="str">
        <f aca="false">'Org Profile'!C37</f>
        <v>The business unit head</v>
      </c>
      <c r="H25" s="15"/>
      <c r="I25" s="15"/>
    </row>
    <row r="26" customFormat="false" ht="18" hidden="false" customHeight="true" outlineLevel="0" collapsed="false">
      <c r="A26" s="18" t="s">
        <v>57</v>
      </c>
      <c r="B26" s="15" t="str">
        <f aca="false">'Org Profile'!C31</f>
        <v>Exception only: CISO and the committee, with an executive sponsor</v>
      </c>
      <c r="C26" s="15"/>
      <c r="D26" s="15"/>
      <c r="E26" s="15" t="str">
        <f aca="false">'Org Profile'!C35</f>
        <v>Monthly</v>
      </c>
      <c r="F26" s="15"/>
      <c r="G26" s="15" t="str">
        <f aca="false">'Org Profile'!C38</f>
        <v>A named executive, with the exception on record</v>
      </c>
      <c r="H26" s="15"/>
      <c r="I26" s="15"/>
    </row>
    <row r="27" customFormat="false" ht="18" hidden="false" customHeight="true" outlineLevel="0" collapsed="false"/>
    <row r="28" customFormat="false" ht="21.75" hidden="false" customHeight="true" outlineLevel="0" collapsed="false">
      <c r="A28" s="8" t="s">
        <v>396</v>
      </c>
      <c r="B28" s="8"/>
      <c r="C28" s="8"/>
      <c r="D28" s="8"/>
      <c r="E28" s="8"/>
      <c r="F28" s="8"/>
      <c r="G28" s="8"/>
      <c r="H28" s="8"/>
      <c r="I28" s="8"/>
    </row>
    <row r="29" customFormat="false" ht="57" hidden="false" customHeight="true" outlineLevel="0" collapsed="false">
      <c r="A29" s="2" t="s">
        <v>397</v>
      </c>
      <c r="B29" s="2"/>
      <c r="C29" s="2"/>
      <c r="D29" s="2"/>
      <c r="E29" s="2"/>
      <c r="F29" s="2"/>
      <c r="G29" s="2"/>
      <c r="H29" s="2"/>
      <c r="I29" s="2"/>
    </row>
    <row r="30" customFormat="false" ht="18" hidden="false" customHeight="true" outlineLevel="0" collapsed="false">
      <c r="A30" s="21" t="s">
        <v>398</v>
      </c>
      <c r="B30" s="9" t="s">
        <v>399</v>
      </c>
      <c r="C30" s="9" t="s">
        <v>400</v>
      </c>
      <c r="D30" s="9" t="s">
        <v>401</v>
      </c>
      <c r="E30" s="9" t="s">
        <v>402</v>
      </c>
      <c r="F30" s="9" t="s">
        <v>403</v>
      </c>
      <c r="G30" s="9" t="s">
        <v>404</v>
      </c>
      <c r="H30" s="9" t="s">
        <v>405</v>
      </c>
      <c r="I30" s="9" t="s">
        <v>406</v>
      </c>
    </row>
    <row r="31" customFormat="false" ht="18" hidden="false" customHeight="true" outlineLevel="0" collapsed="false">
      <c r="A31" s="22" t="s">
        <v>407</v>
      </c>
      <c r="B31" s="13" t="s">
        <v>408</v>
      </c>
      <c r="C31" s="29" t="s">
        <v>54</v>
      </c>
      <c r="D31" s="30" t="s">
        <v>409</v>
      </c>
      <c r="E31" s="12" t="s">
        <v>410</v>
      </c>
      <c r="F31" s="12" t="s">
        <v>411</v>
      </c>
      <c r="G31" s="12" t="s">
        <v>412</v>
      </c>
      <c r="H31" s="12"/>
      <c r="I31" s="31" t="s">
        <v>413</v>
      </c>
    </row>
    <row r="32" customFormat="false" ht="30.75" hidden="false" customHeight="true" outlineLevel="0" collapsed="false">
      <c r="A32" s="22" t="s">
        <v>407</v>
      </c>
      <c r="B32" s="13" t="s">
        <v>414</v>
      </c>
      <c r="C32" s="29" t="s">
        <v>54</v>
      </c>
      <c r="D32" s="30" t="s">
        <v>409</v>
      </c>
      <c r="E32" s="12" t="s">
        <v>415</v>
      </c>
      <c r="F32" s="12" t="s">
        <v>416</v>
      </c>
      <c r="G32" s="12" t="s">
        <v>417</v>
      </c>
      <c r="H32" s="12"/>
      <c r="I32" s="31" t="s">
        <v>413</v>
      </c>
    </row>
    <row r="33" customFormat="false" ht="30.75" hidden="false" customHeight="true" outlineLevel="0" collapsed="false">
      <c r="A33" s="22" t="s">
        <v>407</v>
      </c>
      <c r="B33" s="13" t="s">
        <v>418</v>
      </c>
      <c r="C33" s="29" t="s">
        <v>54</v>
      </c>
      <c r="D33" s="30" t="s">
        <v>409</v>
      </c>
      <c r="E33" s="12" t="s">
        <v>419</v>
      </c>
      <c r="F33" s="12" t="s">
        <v>420</v>
      </c>
      <c r="G33" s="12" t="s">
        <v>421</v>
      </c>
      <c r="H33" s="12"/>
      <c r="I33" s="31" t="s">
        <v>413</v>
      </c>
    </row>
    <row r="34" customFormat="false" ht="30.75" hidden="false" customHeight="true" outlineLevel="0" collapsed="false">
      <c r="A34" s="22" t="s">
        <v>407</v>
      </c>
      <c r="B34" s="13" t="s">
        <v>422</v>
      </c>
      <c r="C34" s="29" t="s">
        <v>54</v>
      </c>
      <c r="D34" s="30" t="s">
        <v>409</v>
      </c>
      <c r="E34" s="12" t="s">
        <v>423</v>
      </c>
      <c r="F34" s="12" t="s">
        <v>424</v>
      </c>
      <c r="G34" s="12" t="s">
        <v>425</v>
      </c>
      <c r="H34" s="12" t="s">
        <v>426</v>
      </c>
      <c r="I34" s="31" t="s">
        <v>413</v>
      </c>
    </row>
    <row r="35" customFormat="false" ht="30.75" hidden="false" customHeight="true" outlineLevel="0" collapsed="false">
      <c r="A35" s="22" t="s">
        <v>407</v>
      </c>
      <c r="B35" s="13" t="s">
        <v>427</v>
      </c>
      <c r="C35" s="29" t="s">
        <v>54</v>
      </c>
      <c r="D35" s="30" t="s">
        <v>409</v>
      </c>
      <c r="E35" s="12" t="s">
        <v>428</v>
      </c>
      <c r="F35" s="12" t="s">
        <v>429</v>
      </c>
      <c r="G35" s="12" t="s">
        <v>430</v>
      </c>
      <c r="H35" s="12"/>
      <c r="I35" s="31" t="s">
        <v>413</v>
      </c>
    </row>
    <row r="36" customFormat="false" ht="30.75" hidden="false" customHeight="true" outlineLevel="0" collapsed="false">
      <c r="A36" s="22" t="s">
        <v>407</v>
      </c>
      <c r="B36" s="13" t="s">
        <v>431</v>
      </c>
      <c r="C36" s="32" t="s">
        <v>55</v>
      </c>
      <c r="D36" s="30" t="s">
        <v>409</v>
      </c>
      <c r="E36" s="12" t="s">
        <v>432</v>
      </c>
      <c r="F36" s="12" t="s">
        <v>433</v>
      </c>
      <c r="G36" s="12" t="s">
        <v>434</v>
      </c>
      <c r="H36" s="12" t="s">
        <v>435</v>
      </c>
      <c r="I36" s="31" t="s">
        <v>413</v>
      </c>
    </row>
    <row r="37" customFormat="false" ht="30.75" hidden="false" customHeight="true" outlineLevel="0" collapsed="false">
      <c r="A37" s="22" t="s">
        <v>407</v>
      </c>
      <c r="B37" s="13" t="s">
        <v>436</v>
      </c>
      <c r="C37" s="32" t="s">
        <v>55</v>
      </c>
      <c r="D37" s="30" t="s">
        <v>409</v>
      </c>
      <c r="E37" s="12" t="s">
        <v>437</v>
      </c>
      <c r="F37" s="12" t="s">
        <v>438</v>
      </c>
      <c r="G37" s="12" t="s">
        <v>417</v>
      </c>
      <c r="H37" s="12" t="s">
        <v>439</v>
      </c>
      <c r="I37" s="31" t="s">
        <v>413</v>
      </c>
    </row>
    <row r="38" customFormat="false" ht="57" hidden="false" customHeight="true" outlineLevel="0" collapsed="false">
      <c r="A38" s="22" t="s">
        <v>407</v>
      </c>
      <c r="B38" s="13" t="s">
        <v>440</v>
      </c>
      <c r="C38" s="32" t="s">
        <v>55</v>
      </c>
      <c r="D38" s="33" t="s">
        <v>135</v>
      </c>
      <c r="E38" s="12" t="s">
        <v>441</v>
      </c>
      <c r="F38" s="12" t="s">
        <v>442</v>
      </c>
      <c r="G38" s="12" t="s">
        <v>443</v>
      </c>
      <c r="H38" s="12" t="s">
        <v>444</v>
      </c>
      <c r="I38" s="31" t="s">
        <v>413</v>
      </c>
    </row>
    <row r="39" customFormat="false" ht="30.75" hidden="false" customHeight="true" outlineLevel="0" collapsed="false">
      <c r="A39" s="22" t="s">
        <v>407</v>
      </c>
      <c r="B39" s="13" t="s">
        <v>445</v>
      </c>
      <c r="C39" s="32" t="s">
        <v>55</v>
      </c>
      <c r="D39" s="30" t="s">
        <v>409</v>
      </c>
      <c r="E39" s="12" t="s">
        <v>446</v>
      </c>
      <c r="F39" s="12" t="s">
        <v>447</v>
      </c>
      <c r="G39" s="12" t="s">
        <v>430</v>
      </c>
      <c r="H39" s="12" t="s">
        <v>448</v>
      </c>
      <c r="I39" s="31" t="s">
        <v>413</v>
      </c>
    </row>
    <row r="40" customFormat="false" ht="57" hidden="false" customHeight="true" outlineLevel="0" collapsed="false">
      <c r="A40" s="22" t="s">
        <v>407</v>
      </c>
      <c r="B40" s="13" t="s">
        <v>449</v>
      </c>
      <c r="C40" s="32" t="s">
        <v>55</v>
      </c>
      <c r="D40" s="30" t="s">
        <v>409</v>
      </c>
      <c r="E40" s="12" t="s">
        <v>450</v>
      </c>
      <c r="F40" s="12" t="s">
        <v>451</v>
      </c>
      <c r="G40" s="12" t="s">
        <v>430</v>
      </c>
      <c r="H40" s="12" t="s">
        <v>452</v>
      </c>
      <c r="I40" s="31" t="s">
        <v>413</v>
      </c>
    </row>
    <row r="41" customFormat="false" ht="57" hidden="false" customHeight="true" outlineLevel="0" collapsed="false">
      <c r="A41" s="22" t="s">
        <v>407</v>
      </c>
      <c r="B41" s="13" t="s">
        <v>453</v>
      </c>
      <c r="C41" s="32" t="s">
        <v>55</v>
      </c>
      <c r="D41" s="30" t="s">
        <v>409</v>
      </c>
      <c r="E41" s="12" t="s">
        <v>454</v>
      </c>
      <c r="F41" s="12" t="s">
        <v>455</v>
      </c>
      <c r="G41" s="12" t="s">
        <v>456</v>
      </c>
      <c r="H41" s="12" t="s">
        <v>457</v>
      </c>
      <c r="I41" s="31" t="s">
        <v>413</v>
      </c>
    </row>
    <row r="42" customFormat="false" ht="30.75" hidden="false" customHeight="true" outlineLevel="0" collapsed="false">
      <c r="A42" s="22" t="s">
        <v>407</v>
      </c>
      <c r="B42" s="13" t="s">
        <v>458</v>
      </c>
      <c r="C42" s="32" t="s">
        <v>55</v>
      </c>
      <c r="D42" s="30" t="s">
        <v>409</v>
      </c>
      <c r="E42" s="12" t="s">
        <v>459</v>
      </c>
      <c r="F42" s="12" t="s">
        <v>460</v>
      </c>
      <c r="G42" s="12" t="s">
        <v>430</v>
      </c>
      <c r="H42" s="12" t="s">
        <v>461</v>
      </c>
      <c r="I42" s="31" t="s">
        <v>413</v>
      </c>
    </row>
    <row r="43" customFormat="false" ht="57" hidden="false" customHeight="true" outlineLevel="0" collapsed="false">
      <c r="A43" s="22" t="s">
        <v>407</v>
      </c>
      <c r="B43" s="13" t="s">
        <v>462</v>
      </c>
      <c r="C43" s="32" t="s">
        <v>55</v>
      </c>
      <c r="D43" s="30" t="s">
        <v>409</v>
      </c>
      <c r="E43" s="12" t="s">
        <v>450</v>
      </c>
      <c r="F43" s="12" t="s">
        <v>451</v>
      </c>
      <c r="G43" s="12" t="s">
        <v>430</v>
      </c>
      <c r="H43" s="12" t="s">
        <v>463</v>
      </c>
      <c r="I43" s="31" t="s">
        <v>413</v>
      </c>
    </row>
    <row r="44" customFormat="false" ht="108.75" hidden="false" customHeight="true" outlineLevel="0" collapsed="false">
      <c r="A44" s="22" t="s">
        <v>407</v>
      </c>
      <c r="B44" s="13" t="s">
        <v>464</v>
      </c>
      <c r="C44" s="32" t="s">
        <v>55</v>
      </c>
      <c r="D44" s="30" t="s">
        <v>409</v>
      </c>
      <c r="E44" s="12" t="s">
        <v>465</v>
      </c>
      <c r="F44" s="12" t="s">
        <v>466</v>
      </c>
      <c r="G44" s="12" t="s">
        <v>467</v>
      </c>
      <c r="H44" s="12" t="s">
        <v>468</v>
      </c>
      <c r="I44" s="31" t="s">
        <v>413</v>
      </c>
    </row>
    <row r="45" customFormat="false" ht="30.75" hidden="false" customHeight="true" outlineLevel="0" collapsed="false">
      <c r="A45" s="22" t="s">
        <v>407</v>
      </c>
      <c r="B45" s="13" t="s">
        <v>469</v>
      </c>
      <c r="C45" s="32" t="s">
        <v>55</v>
      </c>
      <c r="D45" s="30" t="s">
        <v>409</v>
      </c>
      <c r="E45" s="12" t="s">
        <v>470</v>
      </c>
      <c r="F45" s="12" t="s">
        <v>471</v>
      </c>
      <c r="G45" s="12" t="s">
        <v>472</v>
      </c>
      <c r="H45" s="12" t="s">
        <v>473</v>
      </c>
      <c r="I45" s="31" t="s">
        <v>413</v>
      </c>
    </row>
    <row r="46" customFormat="false" ht="30.75" hidden="false" customHeight="true" outlineLevel="0" collapsed="false">
      <c r="A46" s="22" t="s">
        <v>407</v>
      </c>
      <c r="B46" s="13" t="s">
        <v>474</v>
      </c>
      <c r="C46" s="32" t="s">
        <v>55</v>
      </c>
      <c r="D46" s="30" t="s">
        <v>409</v>
      </c>
      <c r="E46" s="12" t="s">
        <v>475</v>
      </c>
      <c r="F46" s="12" t="s">
        <v>476</v>
      </c>
      <c r="G46" s="12" t="s">
        <v>417</v>
      </c>
      <c r="H46" s="12" t="s">
        <v>477</v>
      </c>
      <c r="I46" s="31" t="s">
        <v>413</v>
      </c>
    </row>
    <row r="47" customFormat="false" ht="30.75" hidden="false" customHeight="true" outlineLevel="0" collapsed="false">
      <c r="A47" s="22" t="s">
        <v>407</v>
      </c>
      <c r="B47" s="13" t="s">
        <v>478</v>
      </c>
      <c r="C47" s="32" t="s">
        <v>55</v>
      </c>
      <c r="D47" s="30" t="s">
        <v>409</v>
      </c>
      <c r="E47" s="12" t="s">
        <v>479</v>
      </c>
      <c r="F47" s="12" t="s">
        <v>480</v>
      </c>
      <c r="G47" s="12" t="s">
        <v>481</v>
      </c>
      <c r="H47" s="12" t="s">
        <v>482</v>
      </c>
      <c r="I47" s="31" t="s">
        <v>413</v>
      </c>
    </row>
    <row r="48" customFormat="false" ht="57" hidden="false" customHeight="true" outlineLevel="0" collapsed="false">
      <c r="A48" s="22" t="s">
        <v>407</v>
      </c>
      <c r="B48" s="13" t="s">
        <v>483</v>
      </c>
      <c r="C48" s="32" t="s">
        <v>55</v>
      </c>
      <c r="D48" s="33" t="s">
        <v>135</v>
      </c>
      <c r="E48" s="12" t="s">
        <v>484</v>
      </c>
      <c r="F48" s="12" t="s">
        <v>485</v>
      </c>
      <c r="G48" s="12" t="s">
        <v>443</v>
      </c>
      <c r="H48" s="12" t="s">
        <v>486</v>
      </c>
      <c r="I48" s="31" t="s">
        <v>413</v>
      </c>
    </row>
    <row r="49" customFormat="false" ht="30.75" hidden="false" customHeight="true" outlineLevel="0" collapsed="false">
      <c r="A49" s="22" t="s">
        <v>407</v>
      </c>
      <c r="B49" s="13" t="s">
        <v>487</v>
      </c>
      <c r="C49" s="32" t="s">
        <v>55</v>
      </c>
      <c r="D49" s="30" t="s">
        <v>409</v>
      </c>
      <c r="E49" s="12" t="s">
        <v>488</v>
      </c>
      <c r="F49" s="12" t="s">
        <v>489</v>
      </c>
      <c r="G49" s="12" t="s">
        <v>490</v>
      </c>
      <c r="H49" s="12" t="s">
        <v>491</v>
      </c>
      <c r="I49" s="31" t="s">
        <v>413</v>
      </c>
    </row>
    <row r="50" customFormat="false" ht="43.5" hidden="false" customHeight="true" outlineLevel="0" collapsed="false">
      <c r="A50" s="22" t="s">
        <v>407</v>
      </c>
      <c r="B50" s="13" t="s">
        <v>492</v>
      </c>
      <c r="C50" s="32" t="s">
        <v>55</v>
      </c>
      <c r="D50" s="33" t="s">
        <v>135</v>
      </c>
      <c r="E50" s="12" t="s">
        <v>493</v>
      </c>
      <c r="F50" s="12" t="s">
        <v>494</v>
      </c>
      <c r="G50" s="12" t="s">
        <v>495</v>
      </c>
      <c r="H50" s="12" t="s">
        <v>496</v>
      </c>
      <c r="I50" s="31" t="s">
        <v>413</v>
      </c>
    </row>
    <row r="51" customFormat="false" ht="57" hidden="false" customHeight="true" outlineLevel="0" collapsed="false">
      <c r="A51" s="22" t="s">
        <v>407</v>
      </c>
      <c r="B51" s="13" t="s">
        <v>497</v>
      </c>
      <c r="C51" s="34" t="s">
        <v>56</v>
      </c>
      <c r="D51" s="30" t="s">
        <v>409</v>
      </c>
      <c r="E51" s="12" t="s">
        <v>498</v>
      </c>
      <c r="F51" s="12" t="s">
        <v>499</v>
      </c>
      <c r="G51" s="12" t="s">
        <v>430</v>
      </c>
      <c r="H51" s="12" t="s">
        <v>500</v>
      </c>
      <c r="I51" s="31" t="s">
        <v>413</v>
      </c>
    </row>
    <row r="52" customFormat="false" ht="43.5" hidden="false" customHeight="true" outlineLevel="0" collapsed="false">
      <c r="A52" s="22" t="s">
        <v>407</v>
      </c>
      <c r="B52" s="13" t="s">
        <v>501</v>
      </c>
      <c r="C52" s="34" t="s">
        <v>56</v>
      </c>
      <c r="D52" s="33" t="s">
        <v>135</v>
      </c>
      <c r="E52" s="12" t="s">
        <v>502</v>
      </c>
      <c r="F52" s="12" t="s">
        <v>503</v>
      </c>
      <c r="G52" s="12" t="s">
        <v>425</v>
      </c>
      <c r="H52" s="12" t="s">
        <v>504</v>
      </c>
      <c r="I52" s="31" t="s">
        <v>413</v>
      </c>
    </row>
    <row r="53" customFormat="false" ht="43.5" hidden="false" customHeight="true" outlineLevel="0" collapsed="false">
      <c r="A53" s="22" t="s">
        <v>407</v>
      </c>
      <c r="B53" s="13" t="s">
        <v>505</v>
      </c>
      <c r="C53" s="34" t="s">
        <v>56</v>
      </c>
      <c r="D53" s="33" t="s">
        <v>135</v>
      </c>
      <c r="E53" s="12" t="s">
        <v>506</v>
      </c>
      <c r="F53" s="12" t="s">
        <v>507</v>
      </c>
      <c r="G53" s="12" t="s">
        <v>508</v>
      </c>
      <c r="H53" s="12" t="s">
        <v>509</v>
      </c>
      <c r="I53" s="31" t="s">
        <v>413</v>
      </c>
    </row>
    <row r="54" customFormat="false" ht="57" hidden="false" customHeight="true" outlineLevel="0" collapsed="false">
      <c r="A54" s="22" t="s">
        <v>407</v>
      </c>
      <c r="B54" s="13" t="s">
        <v>510</v>
      </c>
      <c r="C54" s="34" t="s">
        <v>56</v>
      </c>
      <c r="D54" s="30" t="s">
        <v>409</v>
      </c>
      <c r="E54" s="12" t="s">
        <v>511</v>
      </c>
      <c r="F54" s="12" t="s">
        <v>512</v>
      </c>
      <c r="G54" s="12" t="s">
        <v>513</v>
      </c>
      <c r="H54" s="12" t="s">
        <v>514</v>
      </c>
      <c r="I54" s="31" t="s">
        <v>413</v>
      </c>
    </row>
    <row r="55" customFormat="false" ht="43.5" hidden="false" customHeight="true" outlineLevel="0" collapsed="false">
      <c r="A55" s="22" t="s">
        <v>407</v>
      </c>
      <c r="B55" s="13" t="s">
        <v>515</v>
      </c>
      <c r="C55" s="34" t="s">
        <v>56</v>
      </c>
      <c r="D55" s="33" t="s">
        <v>135</v>
      </c>
      <c r="E55" s="12" t="s">
        <v>516</v>
      </c>
      <c r="F55" s="12" t="s">
        <v>517</v>
      </c>
      <c r="G55" s="12" t="s">
        <v>443</v>
      </c>
      <c r="H55" s="12" t="s">
        <v>518</v>
      </c>
      <c r="I55" s="31" t="s">
        <v>413</v>
      </c>
    </row>
    <row r="56" customFormat="false" ht="43.5" hidden="false" customHeight="true" outlineLevel="0" collapsed="false">
      <c r="A56" s="22" t="s">
        <v>407</v>
      </c>
      <c r="B56" s="13" t="s">
        <v>519</v>
      </c>
      <c r="C56" s="34" t="s">
        <v>56</v>
      </c>
      <c r="D56" s="33" t="s">
        <v>135</v>
      </c>
      <c r="E56" s="12" t="s">
        <v>520</v>
      </c>
      <c r="F56" s="12" t="s">
        <v>521</v>
      </c>
      <c r="G56" s="12" t="s">
        <v>522</v>
      </c>
      <c r="H56" s="12" t="s">
        <v>523</v>
      </c>
      <c r="I56" s="31" t="s">
        <v>413</v>
      </c>
    </row>
    <row r="57" customFormat="false" ht="43.5" hidden="false" customHeight="true" outlineLevel="0" collapsed="false">
      <c r="A57" s="22" t="s">
        <v>407</v>
      </c>
      <c r="B57" s="13" t="s">
        <v>524</v>
      </c>
      <c r="C57" s="34" t="s">
        <v>56</v>
      </c>
      <c r="D57" s="33" t="s">
        <v>135</v>
      </c>
      <c r="E57" s="12" t="s">
        <v>525</v>
      </c>
      <c r="F57" s="12" t="s">
        <v>526</v>
      </c>
      <c r="G57" s="12" t="s">
        <v>527</v>
      </c>
      <c r="H57" s="12" t="s">
        <v>528</v>
      </c>
      <c r="I57" s="31" t="s">
        <v>413</v>
      </c>
    </row>
    <row r="58" customFormat="false" ht="43.5" hidden="false" customHeight="true" outlineLevel="0" collapsed="false">
      <c r="A58" s="22" t="s">
        <v>407</v>
      </c>
      <c r="B58" s="13" t="s">
        <v>529</v>
      </c>
      <c r="C58" s="34" t="s">
        <v>56</v>
      </c>
      <c r="D58" s="30" t="s">
        <v>409</v>
      </c>
      <c r="E58" s="12" t="s">
        <v>530</v>
      </c>
      <c r="F58" s="12" t="s">
        <v>531</v>
      </c>
      <c r="G58" s="12" t="s">
        <v>425</v>
      </c>
      <c r="H58" s="12" t="s">
        <v>532</v>
      </c>
      <c r="I58" s="31" t="s">
        <v>413</v>
      </c>
    </row>
    <row r="59" customFormat="false" ht="69.75" hidden="false" customHeight="true" outlineLevel="0" collapsed="false">
      <c r="A59" s="22" t="s">
        <v>407</v>
      </c>
      <c r="B59" s="13" t="s">
        <v>533</v>
      </c>
      <c r="C59" s="34" t="s">
        <v>56</v>
      </c>
      <c r="D59" s="30" t="s">
        <v>409</v>
      </c>
      <c r="E59" s="12" t="s">
        <v>534</v>
      </c>
      <c r="F59" s="12" t="s">
        <v>535</v>
      </c>
      <c r="G59" s="12" t="s">
        <v>536</v>
      </c>
      <c r="H59" s="12" t="s">
        <v>537</v>
      </c>
      <c r="I59" s="31" t="s">
        <v>413</v>
      </c>
    </row>
    <row r="60" customFormat="false" ht="57" hidden="false" customHeight="true" outlineLevel="0" collapsed="false">
      <c r="A60" s="22" t="s">
        <v>407</v>
      </c>
      <c r="B60" s="13" t="s">
        <v>538</v>
      </c>
      <c r="C60" s="34" t="s">
        <v>56</v>
      </c>
      <c r="D60" s="30" t="s">
        <v>409</v>
      </c>
      <c r="E60" s="12" t="s">
        <v>539</v>
      </c>
      <c r="F60" s="12" t="s">
        <v>540</v>
      </c>
      <c r="G60" s="12" t="s">
        <v>430</v>
      </c>
      <c r="H60" s="12" t="s">
        <v>541</v>
      </c>
      <c r="I60" s="31" t="s">
        <v>413</v>
      </c>
    </row>
    <row r="61" customFormat="false" ht="43.5" hidden="false" customHeight="true" outlineLevel="0" collapsed="false">
      <c r="A61" s="22" t="s">
        <v>407</v>
      </c>
      <c r="B61" s="13" t="s">
        <v>542</v>
      </c>
      <c r="C61" s="34" t="s">
        <v>56</v>
      </c>
      <c r="D61" s="33" t="s">
        <v>135</v>
      </c>
      <c r="E61" s="12" t="s">
        <v>543</v>
      </c>
      <c r="F61" s="12" t="s">
        <v>544</v>
      </c>
      <c r="G61" s="12" t="s">
        <v>545</v>
      </c>
      <c r="H61" s="12" t="s">
        <v>546</v>
      </c>
      <c r="I61" s="31" t="s">
        <v>413</v>
      </c>
    </row>
    <row r="62" customFormat="false" ht="43.5" hidden="false" customHeight="true" outlineLevel="0" collapsed="false">
      <c r="A62" s="22" t="s">
        <v>407</v>
      </c>
      <c r="B62" s="13" t="s">
        <v>547</v>
      </c>
      <c r="C62" s="34" t="s">
        <v>56</v>
      </c>
      <c r="D62" s="33" t="s">
        <v>135</v>
      </c>
      <c r="E62" s="12" t="s">
        <v>548</v>
      </c>
      <c r="F62" s="12" t="s">
        <v>549</v>
      </c>
      <c r="G62" s="12" t="s">
        <v>443</v>
      </c>
      <c r="H62" s="12" t="s">
        <v>550</v>
      </c>
      <c r="I62" s="31" t="s">
        <v>413</v>
      </c>
    </row>
    <row r="63" customFormat="false" ht="82.5" hidden="false" customHeight="true" outlineLevel="0" collapsed="false">
      <c r="A63" s="22" t="s">
        <v>407</v>
      </c>
      <c r="B63" s="13" t="s">
        <v>551</v>
      </c>
      <c r="C63" s="34" t="s">
        <v>56</v>
      </c>
      <c r="D63" s="30" t="s">
        <v>409</v>
      </c>
      <c r="E63" s="12" t="s">
        <v>552</v>
      </c>
      <c r="F63" s="12" t="s">
        <v>553</v>
      </c>
      <c r="G63" s="12" t="s">
        <v>554</v>
      </c>
      <c r="H63" s="12" t="s">
        <v>555</v>
      </c>
      <c r="I63" s="31" t="s">
        <v>413</v>
      </c>
    </row>
    <row r="64" customFormat="false" ht="82.5" hidden="false" customHeight="true" outlineLevel="0" collapsed="false">
      <c r="A64" s="22" t="s">
        <v>407</v>
      </c>
      <c r="B64" s="13" t="s">
        <v>556</v>
      </c>
      <c r="C64" s="34" t="s">
        <v>56</v>
      </c>
      <c r="D64" s="33" t="s">
        <v>135</v>
      </c>
      <c r="E64" s="12" t="s">
        <v>557</v>
      </c>
      <c r="F64" s="12" t="s">
        <v>558</v>
      </c>
      <c r="G64" s="12" t="s">
        <v>443</v>
      </c>
      <c r="H64" s="12" t="s">
        <v>559</v>
      </c>
      <c r="I64" s="31" t="s">
        <v>413</v>
      </c>
    </row>
    <row r="65" customFormat="false" ht="43.5" hidden="false" customHeight="true" outlineLevel="0" collapsed="false">
      <c r="A65" s="22" t="s">
        <v>407</v>
      </c>
      <c r="B65" s="13" t="s">
        <v>560</v>
      </c>
      <c r="C65" s="34" t="s">
        <v>56</v>
      </c>
      <c r="D65" s="33" t="s">
        <v>135</v>
      </c>
      <c r="E65" s="12" t="s">
        <v>561</v>
      </c>
      <c r="F65" s="12" t="s">
        <v>562</v>
      </c>
      <c r="G65" s="12" t="s">
        <v>563</v>
      </c>
      <c r="H65" s="12" t="s">
        <v>564</v>
      </c>
      <c r="I65" s="31" t="s">
        <v>413</v>
      </c>
    </row>
    <row r="66" customFormat="false" ht="30.75" hidden="false" customHeight="true" outlineLevel="0" collapsed="false">
      <c r="A66" s="22" t="s">
        <v>407</v>
      </c>
      <c r="B66" s="13" t="s">
        <v>565</v>
      </c>
      <c r="C66" s="34" t="s">
        <v>56</v>
      </c>
      <c r="D66" s="33" t="s">
        <v>135</v>
      </c>
      <c r="E66" s="12" t="s">
        <v>566</v>
      </c>
      <c r="F66" s="12" t="s">
        <v>567</v>
      </c>
      <c r="G66" s="12" t="s">
        <v>508</v>
      </c>
      <c r="H66" s="12" t="s">
        <v>568</v>
      </c>
      <c r="I66" s="31" t="s">
        <v>413</v>
      </c>
    </row>
    <row r="67" customFormat="false" ht="57" hidden="false" customHeight="true" outlineLevel="0" collapsed="false">
      <c r="A67" s="22" t="s">
        <v>407</v>
      </c>
      <c r="B67" s="13" t="s">
        <v>569</v>
      </c>
      <c r="C67" s="34" t="s">
        <v>56</v>
      </c>
      <c r="D67" s="33" t="s">
        <v>135</v>
      </c>
      <c r="E67" s="12" t="s">
        <v>570</v>
      </c>
      <c r="F67" s="12" t="s">
        <v>571</v>
      </c>
      <c r="G67" s="12" t="s">
        <v>572</v>
      </c>
      <c r="H67" s="12" t="s">
        <v>573</v>
      </c>
      <c r="I67" s="31" t="s">
        <v>413</v>
      </c>
    </row>
    <row r="68" customFormat="false" ht="43.5" hidden="false" customHeight="true" outlineLevel="0" collapsed="false">
      <c r="A68" s="22" t="s">
        <v>407</v>
      </c>
      <c r="B68" s="13" t="s">
        <v>574</v>
      </c>
      <c r="C68" s="34" t="s">
        <v>56</v>
      </c>
      <c r="D68" s="33" t="s">
        <v>135</v>
      </c>
      <c r="E68" s="12" t="s">
        <v>575</v>
      </c>
      <c r="F68" s="12" t="s">
        <v>576</v>
      </c>
      <c r="G68" s="12" t="s">
        <v>577</v>
      </c>
      <c r="H68" s="12" t="s">
        <v>578</v>
      </c>
      <c r="I68" s="31" t="s">
        <v>413</v>
      </c>
    </row>
    <row r="69" customFormat="false" ht="43.5" hidden="false" customHeight="true" outlineLevel="0" collapsed="false">
      <c r="A69" s="22" t="s">
        <v>407</v>
      </c>
      <c r="B69" s="13" t="s">
        <v>579</v>
      </c>
      <c r="C69" s="34" t="s">
        <v>56</v>
      </c>
      <c r="D69" s="33" t="s">
        <v>135</v>
      </c>
      <c r="E69" s="12" t="s">
        <v>580</v>
      </c>
      <c r="F69" s="12" t="s">
        <v>581</v>
      </c>
      <c r="G69" s="12" t="s">
        <v>572</v>
      </c>
      <c r="H69" s="12" t="s">
        <v>582</v>
      </c>
      <c r="I69" s="31" t="s">
        <v>413</v>
      </c>
    </row>
    <row r="70" customFormat="false" ht="43.5" hidden="false" customHeight="true" outlineLevel="0" collapsed="false">
      <c r="A70" s="22" t="s">
        <v>407</v>
      </c>
      <c r="B70" s="13" t="s">
        <v>583</v>
      </c>
      <c r="C70" s="34" t="s">
        <v>56</v>
      </c>
      <c r="D70" s="33" t="s">
        <v>135</v>
      </c>
      <c r="E70" s="12" t="s">
        <v>584</v>
      </c>
      <c r="F70" s="12" t="s">
        <v>585</v>
      </c>
      <c r="G70" s="12" t="s">
        <v>586</v>
      </c>
      <c r="H70" s="12" t="s">
        <v>587</v>
      </c>
      <c r="I70" s="31" t="s">
        <v>413</v>
      </c>
    </row>
    <row r="71" customFormat="false" ht="43.5" hidden="false" customHeight="true" outlineLevel="0" collapsed="false">
      <c r="A71" s="22" t="s">
        <v>407</v>
      </c>
      <c r="B71" s="13" t="s">
        <v>588</v>
      </c>
      <c r="C71" s="34" t="s">
        <v>56</v>
      </c>
      <c r="D71" s="33" t="s">
        <v>135</v>
      </c>
      <c r="E71" s="12" t="s">
        <v>589</v>
      </c>
      <c r="F71" s="12" t="s">
        <v>590</v>
      </c>
      <c r="G71" s="12" t="s">
        <v>591</v>
      </c>
      <c r="H71" s="12" t="s">
        <v>592</v>
      </c>
      <c r="I71" s="31" t="s">
        <v>413</v>
      </c>
    </row>
    <row r="72" customFormat="false" ht="43.5" hidden="false" customHeight="true" outlineLevel="0" collapsed="false">
      <c r="A72" s="22" t="s">
        <v>407</v>
      </c>
      <c r="B72" s="13" t="s">
        <v>593</v>
      </c>
      <c r="C72" s="34" t="s">
        <v>56</v>
      </c>
      <c r="D72" s="30" t="s">
        <v>409</v>
      </c>
      <c r="E72" s="12" t="s">
        <v>594</v>
      </c>
      <c r="F72" s="12" t="s">
        <v>595</v>
      </c>
      <c r="G72" s="12" t="s">
        <v>596</v>
      </c>
      <c r="H72" s="12" t="s">
        <v>597</v>
      </c>
      <c r="I72" s="31" t="s">
        <v>413</v>
      </c>
    </row>
    <row r="73" customFormat="false" ht="43.5" hidden="false" customHeight="true" outlineLevel="0" collapsed="false">
      <c r="A73" s="22" t="s">
        <v>407</v>
      </c>
      <c r="B73" s="13" t="s">
        <v>598</v>
      </c>
      <c r="C73" s="34" t="s">
        <v>56</v>
      </c>
      <c r="D73" s="30" t="s">
        <v>409</v>
      </c>
      <c r="E73" s="12" t="s">
        <v>599</v>
      </c>
      <c r="F73" s="12" t="s">
        <v>600</v>
      </c>
      <c r="G73" s="12" t="s">
        <v>601</v>
      </c>
      <c r="H73" s="12" t="s">
        <v>602</v>
      </c>
      <c r="I73" s="31" t="s">
        <v>413</v>
      </c>
    </row>
    <row r="74" customFormat="false" ht="43.5" hidden="false" customHeight="true" outlineLevel="0" collapsed="false">
      <c r="A74" s="22" t="s">
        <v>407</v>
      </c>
      <c r="B74" s="13" t="s">
        <v>603</v>
      </c>
      <c r="C74" s="35" t="s">
        <v>57</v>
      </c>
      <c r="D74" s="33" t="s">
        <v>135</v>
      </c>
      <c r="E74" s="12" t="s">
        <v>604</v>
      </c>
      <c r="F74" s="12" t="s">
        <v>605</v>
      </c>
      <c r="G74" s="12" t="s">
        <v>606</v>
      </c>
      <c r="H74" s="12" t="s">
        <v>607</v>
      </c>
      <c r="I74" s="31" t="s">
        <v>413</v>
      </c>
    </row>
    <row r="75" customFormat="false" ht="43.5" hidden="false" customHeight="true" outlineLevel="0" collapsed="false">
      <c r="A75" s="22" t="s">
        <v>407</v>
      </c>
      <c r="B75" s="13" t="s">
        <v>608</v>
      </c>
      <c r="C75" s="35" t="s">
        <v>57</v>
      </c>
      <c r="D75" s="30" t="s">
        <v>409</v>
      </c>
      <c r="E75" s="12" t="s">
        <v>609</v>
      </c>
      <c r="F75" s="12" t="s">
        <v>610</v>
      </c>
      <c r="G75" s="12" t="s">
        <v>611</v>
      </c>
      <c r="H75" s="12" t="s">
        <v>612</v>
      </c>
      <c r="I75" s="31" t="s">
        <v>413</v>
      </c>
    </row>
    <row r="76" customFormat="false" ht="57" hidden="false" customHeight="true" outlineLevel="0" collapsed="false">
      <c r="A76" s="22" t="s">
        <v>407</v>
      </c>
      <c r="B76" s="13" t="s">
        <v>613</v>
      </c>
      <c r="C76" s="35" t="s">
        <v>57</v>
      </c>
      <c r="D76" s="33" t="s">
        <v>135</v>
      </c>
      <c r="E76" s="12" t="s">
        <v>614</v>
      </c>
      <c r="F76" s="12" t="s">
        <v>615</v>
      </c>
      <c r="G76" s="12" t="s">
        <v>425</v>
      </c>
      <c r="H76" s="12" t="s">
        <v>616</v>
      </c>
      <c r="I76" s="31" t="s">
        <v>413</v>
      </c>
    </row>
    <row r="77" customFormat="false" ht="57" hidden="false" customHeight="true" outlineLevel="0" collapsed="false">
      <c r="A77" s="22" t="s">
        <v>407</v>
      </c>
      <c r="B77" s="13" t="s">
        <v>617</v>
      </c>
      <c r="C77" s="35" t="s">
        <v>57</v>
      </c>
      <c r="D77" s="33" t="s">
        <v>135</v>
      </c>
      <c r="E77" s="12" t="s">
        <v>618</v>
      </c>
      <c r="F77" s="12" t="s">
        <v>619</v>
      </c>
      <c r="G77" s="12" t="s">
        <v>508</v>
      </c>
      <c r="H77" s="12" t="s">
        <v>620</v>
      </c>
      <c r="I77" s="31" t="s">
        <v>413</v>
      </c>
    </row>
    <row r="78" customFormat="false" ht="57" hidden="false" customHeight="true" outlineLevel="0" collapsed="false">
      <c r="A78" s="22" t="s">
        <v>407</v>
      </c>
      <c r="B78" s="13" t="s">
        <v>621</v>
      </c>
      <c r="C78" s="35" t="s">
        <v>57</v>
      </c>
      <c r="D78" s="33" t="s">
        <v>135</v>
      </c>
      <c r="E78" s="12" t="s">
        <v>622</v>
      </c>
      <c r="F78" s="12" t="s">
        <v>623</v>
      </c>
      <c r="G78" s="12" t="s">
        <v>577</v>
      </c>
      <c r="H78" s="12" t="s">
        <v>624</v>
      </c>
      <c r="I78" s="31" t="s">
        <v>413</v>
      </c>
    </row>
    <row r="79" customFormat="false" ht="57" hidden="false" customHeight="true" outlineLevel="0" collapsed="false">
      <c r="A79" s="22" t="s">
        <v>407</v>
      </c>
      <c r="B79" s="13" t="s">
        <v>625</v>
      </c>
      <c r="C79" s="35" t="s">
        <v>57</v>
      </c>
      <c r="D79" s="30" t="s">
        <v>409</v>
      </c>
      <c r="E79" s="12" t="s">
        <v>626</v>
      </c>
      <c r="F79" s="12" t="s">
        <v>627</v>
      </c>
      <c r="G79" s="12" t="s">
        <v>628</v>
      </c>
      <c r="H79" s="12" t="s">
        <v>629</v>
      </c>
      <c r="I79" s="31" t="s">
        <v>413</v>
      </c>
    </row>
    <row r="80" customFormat="false" ht="57" hidden="false" customHeight="true" outlineLevel="0" collapsed="false">
      <c r="A80" s="22" t="s">
        <v>407</v>
      </c>
      <c r="B80" s="13" t="s">
        <v>630</v>
      </c>
      <c r="C80" s="35" t="s">
        <v>57</v>
      </c>
      <c r="D80" s="33" t="s">
        <v>135</v>
      </c>
      <c r="E80" s="12" t="s">
        <v>631</v>
      </c>
      <c r="F80" s="12" t="s">
        <v>632</v>
      </c>
      <c r="G80" s="12" t="s">
        <v>508</v>
      </c>
      <c r="H80" s="12" t="s">
        <v>633</v>
      </c>
      <c r="I80" s="31" t="s">
        <v>413</v>
      </c>
    </row>
    <row r="81" customFormat="false" ht="57" hidden="false" customHeight="true" outlineLevel="0" collapsed="false">
      <c r="A81" s="22" t="s">
        <v>407</v>
      </c>
      <c r="B81" s="13" t="s">
        <v>634</v>
      </c>
      <c r="C81" s="35" t="s">
        <v>57</v>
      </c>
      <c r="D81" s="33" t="s">
        <v>135</v>
      </c>
      <c r="E81" s="12" t="s">
        <v>635</v>
      </c>
      <c r="F81" s="12" t="s">
        <v>636</v>
      </c>
      <c r="G81" s="12" t="s">
        <v>577</v>
      </c>
      <c r="H81" s="12" t="s">
        <v>637</v>
      </c>
      <c r="I81" s="31" t="s">
        <v>413</v>
      </c>
    </row>
    <row r="82" customFormat="false" ht="57" hidden="false" customHeight="true" outlineLevel="0" collapsed="false">
      <c r="A82" s="22" t="s">
        <v>407</v>
      </c>
      <c r="B82" s="13" t="s">
        <v>638</v>
      </c>
      <c r="C82" s="35" t="s">
        <v>57</v>
      </c>
      <c r="D82" s="33" t="s">
        <v>135</v>
      </c>
      <c r="E82" s="12" t="s">
        <v>639</v>
      </c>
      <c r="F82" s="12" t="s">
        <v>640</v>
      </c>
      <c r="G82" s="12" t="s">
        <v>577</v>
      </c>
      <c r="H82" s="12" t="s">
        <v>641</v>
      </c>
      <c r="I82" s="31" t="s">
        <v>413</v>
      </c>
    </row>
    <row r="83" customFormat="false" ht="43.5" hidden="false" customHeight="true" outlineLevel="0" collapsed="false">
      <c r="A83" s="22" t="s">
        <v>407</v>
      </c>
      <c r="B83" s="13" t="s">
        <v>642</v>
      </c>
      <c r="C83" s="35" t="s">
        <v>57</v>
      </c>
      <c r="D83" s="33" t="s">
        <v>135</v>
      </c>
      <c r="E83" s="12" t="s">
        <v>643</v>
      </c>
      <c r="F83" s="12" t="s">
        <v>644</v>
      </c>
      <c r="G83" s="12" t="s">
        <v>577</v>
      </c>
      <c r="H83" s="12" t="s">
        <v>578</v>
      </c>
      <c r="I83" s="31" t="s">
        <v>413</v>
      </c>
    </row>
    <row r="84" customFormat="false" ht="43.5" hidden="false" customHeight="true" outlineLevel="0" collapsed="false">
      <c r="A84" s="22" t="s">
        <v>407</v>
      </c>
      <c r="B84" s="13" t="s">
        <v>645</v>
      </c>
      <c r="C84" s="35" t="s">
        <v>57</v>
      </c>
      <c r="D84" s="33" t="s">
        <v>135</v>
      </c>
      <c r="E84" s="12" t="s">
        <v>646</v>
      </c>
      <c r="F84" s="12" t="s">
        <v>647</v>
      </c>
      <c r="G84" s="12" t="s">
        <v>648</v>
      </c>
      <c r="H84" s="12" t="s">
        <v>649</v>
      </c>
      <c r="I84" s="31" t="s">
        <v>413</v>
      </c>
    </row>
    <row r="85" customFormat="false" ht="43.5" hidden="false" customHeight="true" outlineLevel="0" collapsed="false">
      <c r="A85" s="22" t="s">
        <v>407</v>
      </c>
      <c r="B85" s="13" t="s">
        <v>650</v>
      </c>
      <c r="C85" s="35" t="s">
        <v>57</v>
      </c>
      <c r="D85" s="33" t="s">
        <v>135</v>
      </c>
      <c r="E85" s="12" t="s">
        <v>651</v>
      </c>
      <c r="F85" s="12" t="s">
        <v>652</v>
      </c>
      <c r="G85" s="12" t="s">
        <v>430</v>
      </c>
      <c r="H85" s="12" t="s">
        <v>653</v>
      </c>
      <c r="I85" s="31" t="s">
        <v>413</v>
      </c>
    </row>
    <row r="86" customFormat="false" ht="57" hidden="false" customHeight="true" outlineLevel="0" collapsed="false">
      <c r="A86" s="22" t="s">
        <v>407</v>
      </c>
      <c r="B86" s="13" t="s">
        <v>654</v>
      </c>
      <c r="C86" s="35" t="s">
        <v>57</v>
      </c>
      <c r="D86" s="33" t="s">
        <v>135</v>
      </c>
      <c r="E86" s="12" t="s">
        <v>655</v>
      </c>
      <c r="F86" s="12" t="s">
        <v>656</v>
      </c>
      <c r="G86" s="12" t="s">
        <v>572</v>
      </c>
      <c r="H86" s="12" t="s">
        <v>657</v>
      </c>
      <c r="I86" s="31" t="s">
        <v>413</v>
      </c>
    </row>
    <row r="87" customFormat="false" ht="43.5" hidden="false" customHeight="true" outlineLevel="0" collapsed="false">
      <c r="A87" s="22" t="s">
        <v>407</v>
      </c>
      <c r="B87" s="13" t="s">
        <v>658</v>
      </c>
      <c r="C87" s="35" t="s">
        <v>57</v>
      </c>
      <c r="D87" s="33" t="s">
        <v>135</v>
      </c>
      <c r="E87" s="12" t="s">
        <v>659</v>
      </c>
      <c r="F87" s="12" t="s">
        <v>660</v>
      </c>
      <c r="G87" s="12" t="s">
        <v>661</v>
      </c>
      <c r="H87" s="12" t="s">
        <v>662</v>
      </c>
      <c r="I87" s="31" t="s">
        <v>413</v>
      </c>
    </row>
    <row r="88" customFormat="false" ht="18" hidden="false" customHeight="true" outlineLevel="0" collapsed="false">
      <c r="A88" s="22" t="s">
        <v>407</v>
      </c>
      <c r="B88" s="24"/>
      <c r="C88" s="24"/>
      <c r="D88" s="24"/>
      <c r="E88" s="24"/>
      <c r="F88" s="24"/>
      <c r="G88" s="24"/>
      <c r="H88" s="24"/>
      <c r="I88" s="24"/>
    </row>
    <row r="89" customFormat="false" ht="18" hidden="false" customHeight="true" outlineLevel="0" collapsed="false">
      <c r="A89" s="22" t="s">
        <v>407</v>
      </c>
      <c r="B89" s="24"/>
      <c r="C89" s="24"/>
      <c r="D89" s="24"/>
      <c r="E89" s="24"/>
      <c r="F89" s="24"/>
      <c r="G89" s="24"/>
      <c r="H89" s="24"/>
      <c r="I89" s="24"/>
    </row>
    <row r="90" customFormat="false" ht="18" hidden="false" customHeight="true" outlineLevel="0" collapsed="false">
      <c r="A90" s="22" t="s">
        <v>407</v>
      </c>
      <c r="B90" s="24"/>
      <c r="C90" s="24"/>
      <c r="D90" s="24"/>
      <c r="E90" s="24"/>
      <c r="F90" s="24"/>
      <c r="G90" s="24"/>
      <c r="H90" s="24"/>
      <c r="I90" s="24"/>
    </row>
    <row r="91" customFormat="false" ht="18" hidden="false" customHeight="true" outlineLevel="0" collapsed="false">
      <c r="A91" s="19" t="s">
        <v>663</v>
      </c>
      <c r="B91" s="19"/>
      <c r="C91" s="19"/>
      <c r="D91" s="19"/>
      <c r="E91" s="19"/>
      <c r="F91" s="19"/>
      <c r="G91" s="19"/>
      <c r="H91" s="19"/>
      <c r="I91" s="19"/>
    </row>
  </sheetData>
  <autoFilter ref="A30:I90"/>
  <mergeCells count="43">
    <mergeCell ref="A1:I1"/>
    <mergeCell ref="A3:I3"/>
    <mergeCell ref="B5:I5"/>
    <mergeCell ref="B6:I6"/>
    <mergeCell ref="A8:I8"/>
    <mergeCell ref="A9:I9"/>
    <mergeCell ref="E10:F10"/>
    <mergeCell ref="G10:I10"/>
    <mergeCell ref="E11:F11"/>
    <mergeCell ref="G11:I11"/>
    <mergeCell ref="E12:F12"/>
    <mergeCell ref="G12:I12"/>
    <mergeCell ref="E13:F13"/>
    <mergeCell ref="G13:I13"/>
    <mergeCell ref="E14:F14"/>
    <mergeCell ref="G14:I14"/>
    <mergeCell ref="E15:F15"/>
    <mergeCell ref="G15:I15"/>
    <mergeCell ref="E16:F16"/>
    <mergeCell ref="G16:I16"/>
    <mergeCell ref="E17:F17"/>
    <mergeCell ref="G17:I17"/>
    <mergeCell ref="A18:I18"/>
    <mergeCell ref="A20:I20"/>
    <mergeCell ref="A21:I21"/>
    <mergeCell ref="B22:D22"/>
    <mergeCell ref="E22:F22"/>
    <mergeCell ref="G22:I22"/>
    <mergeCell ref="B23:D23"/>
    <mergeCell ref="E23:F23"/>
    <mergeCell ref="G23:I23"/>
    <mergeCell ref="B24:D24"/>
    <mergeCell ref="E24:F24"/>
    <mergeCell ref="G24:I24"/>
    <mergeCell ref="B25:D25"/>
    <mergeCell ref="E25:F25"/>
    <mergeCell ref="G25:I25"/>
    <mergeCell ref="B26:D26"/>
    <mergeCell ref="E26:F26"/>
    <mergeCell ref="G26:I26"/>
    <mergeCell ref="A28:I28"/>
    <mergeCell ref="A29:I29"/>
    <mergeCell ref="A91:I91"/>
  </mergeCells>
  <dataValidations count="3">
    <dataValidation allowBlank="true" error="Pick one of the listed values" errorStyle="stop" errorTitle="Pick from the list" operator="between" showDropDown="false" showErrorMessage="true" showInputMessage="false" sqref="C31:C90" type="list">
      <formula1>"Low,Medium,High,Severe"</formula1>
      <formula2>0</formula2>
    </dataValidation>
    <dataValidation allowBlank="true" error="Pick one of the listed values" errorStyle="stop" errorTitle="Pick from the list" operator="between" showDropDown="false" showErrorMessage="true" showInputMessage="false" sqref="D31:D90" type="list">
      <formula1>"Yes,No"</formula1>
      <formula2>0</formula2>
    </dataValidation>
    <dataValidation allowBlank="true" error="Pick one of the listed values" errorStyle="stop" errorTitle="Pick from the list" operator="between" showDropDown="false" showErrorMessage="true" showInputMessage="false" sqref="I31:I90" type="list">
      <formula1>"On,Off"</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0" topLeftCell="C21" activePane="bottomRight" state="frozen"/>
      <selection pane="topLeft" activeCell="A1" activeCellId="0" sqref="A1"/>
      <selection pane="topRight" activeCell="C1" activeCellId="0" sqref="C1"/>
      <selection pane="bottomLeft" activeCell="A21" activeCellId="0" sqref="A21"/>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24"/>
    <col collapsed="false" customWidth="true" hidden="false" outlineLevel="0" max="4" min="4" style="0" width="28"/>
    <col collapsed="false" customWidth="true" hidden="false" outlineLevel="0" max="5" min="5" style="0" width="13"/>
    <col collapsed="false" customWidth="true" hidden="false" outlineLevel="0" max="6" min="6" style="0" width="10"/>
    <col collapsed="false" customWidth="true" hidden="false" outlineLevel="0" max="7" min="7" style="0" width="40"/>
    <col collapsed="false" customWidth="true" hidden="false" outlineLevel="0" max="8" min="8" style="0" width="46"/>
    <col collapsed="false" customWidth="true" hidden="false" outlineLevel="0" max="9" min="9" style="0" width="40"/>
    <col collapsed="false" customWidth="true" hidden="false" outlineLevel="0" max="10" min="10" style="0" width="26"/>
    <col collapsed="false" customWidth="true" hidden="false" outlineLevel="0" max="11" min="11" style="0" width="8"/>
  </cols>
  <sheetData>
    <row r="1" customFormat="false" ht="27.75" hidden="false" customHeight="true" outlineLevel="0" collapsed="false">
      <c r="A1" s="1" t="s">
        <v>664</v>
      </c>
      <c r="B1" s="1"/>
      <c r="C1" s="1"/>
      <c r="D1" s="1"/>
      <c r="E1" s="1"/>
      <c r="F1" s="1"/>
      <c r="G1" s="1"/>
      <c r="H1" s="1"/>
      <c r="I1" s="1"/>
      <c r="J1" s="1"/>
      <c r="K1" s="1"/>
    </row>
    <row r="2" customFormat="false" ht="18" hidden="false" customHeight="true" outlineLevel="0" collapsed="false"/>
    <row r="3" customFormat="false" ht="57" hidden="false" customHeight="true" outlineLevel="0" collapsed="false">
      <c r="A3" s="2" t="s">
        <v>665</v>
      </c>
      <c r="B3" s="2"/>
      <c r="C3" s="2"/>
      <c r="D3" s="2"/>
      <c r="E3" s="2"/>
      <c r="F3" s="2"/>
      <c r="G3" s="2"/>
      <c r="H3" s="2"/>
      <c r="I3" s="2"/>
      <c r="J3" s="2"/>
      <c r="K3" s="2"/>
    </row>
    <row r="4" customFormat="false" ht="18" hidden="false" customHeight="true" outlineLevel="0" collapsed="false"/>
    <row r="5" customFormat="false" ht="30.75" hidden="false" customHeight="true" outlineLevel="0" collapsed="false">
      <c r="A5" s="3" t="s">
        <v>2</v>
      </c>
      <c r="B5" s="4" t="s">
        <v>666</v>
      </c>
      <c r="C5" s="4"/>
      <c r="D5" s="4"/>
      <c r="E5" s="4"/>
      <c r="F5" s="4"/>
      <c r="G5" s="4"/>
      <c r="H5" s="4"/>
      <c r="I5" s="4"/>
      <c r="J5" s="4"/>
      <c r="K5" s="4"/>
    </row>
    <row r="6" customFormat="false" ht="18" hidden="false" customHeight="true" outlineLevel="0" collapsed="false">
      <c r="A6" s="5" t="s">
        <v>4</v>
      </c>
      <c r="B6" s="4" t="s">
        <v>667</v>
      </c>
      <c r="C6" s="4"/>
      <c r="D6" s="4"/>
      <c r="E6" s="4"/>
      <c r="F6" s="4"/>
      <c r="G6" s="4"/>
      <c r="H6" s="4"/>
      <c r="I6" s="4"/>
      <c r="J6" s="4"/>
      <c r="K6" s="4"/>
    </row>
    <row r="7" customFormat="false" ht="18" hidden="false" customHeight="true" outlineLevel="0" collapsed="false"/>
    <row r="8" customFormat="false" ht="21.75" hidden="false" customHeight="true" outlineLevel="0" collapsed="false">
      <c r="A8" s="8" t="s">
        <v>668</v>
      </c>
      <c r="B8" s="8"/>
      <c r="C8" s="8"/>
      <c r="D8" s="8"/>
      <c r="E8" s="8"/>
      <c r="F8" s="8"/>
      <c r="G8" s="8"/>
      <c r="H8" s="8"/>
      <c r="I8" s="8"/>
      <c r="J8" s="8"/>
      <c r="K8" s="8"/>
    </row>
    <row r="9" customFormat="false" ht="18" hidden="false" customHeight="true" outlineLevel="0" collapsed="false">
      <c r="A9" s="9" t="s">
        <v>669</v>
      </c>
      <c r="B9" s="9"/>
      <c r="C9" s="9" t="s">
        <v>670</v>
      </c>
      <c r="D9" s="9"/>
      <c r="E9" s="9"/>
      <c r="F9" s="9"/>
      <c r="G9" s="9"/>
      <c r="H9" s="9" t="s">
        <v>671</v>
      </c>
      <c r="I9" s="9"/>
      <c r="J9" s="9"/>
    </row>
    <row r="10" customFormat="false" ht="18" hidden="false" customHeight="true" outlineLevel="0" collapsed="false">
      <c r="A10" s="36" t="s">
        <v>672</v>
      </c>
      <c r="B10" s="36"/>
      <c r="C10" s="12" t="s">
        <v>673</v>
      </c>
      <c r="D10" s="12"/>
      <c r="E10" s="12"/>
      <c r="F10" s="12"/>
      <c r="G10" s="12"/>
      <c r="H10" s="12" t="s">
        <v>674</v>
      </c>
      <c r="I10" s="12"/>
      <c r="J10" s="12"/>
    </row>
    <row r="11" customFormat="false" ht="30.75" hidden="false" customHeight="true" outlineLevel="0" collapsed="false">
      <c r="A11" s="37" t="s">
        <v>675</v>
      </c>
      <c r="B11" s="37"/>
      <c r="C11" s="12" t="s">
        <v>676</v>
      </c>
      <c r="D11" s="12"/>
      <c r="E11" s="12"/>
      <c r="F11" s="12"/>
      <c r="G11" s="12"/>
      <c r="H11" s="12" t="s">
        <v>677</v>
      </c>
      <c r="I11" s="12"/>
      <c r="J11" s="12"/>
    </row>
    <row r="12" customFormat="false" ht="30.75" hidden="false" customHeight="true" outlineLevel="0" collapsed="false">
      <c r="A12" s="38" t="s">
        <v>678</v>
      </c>
      <c r="B12" s="38"/>
      <c r="C12" s="12" t="s">
        <v>679</v>
      </c>
      <c r="D12" s="12"/>
      <c r="E12" s="12"/>
      <c r="F12" s="12"/>
      <c r="G12" s="12"/>
      <c r="H12" s="12" t="s">
        <v>680</v>
      </c>
      <c r="I12" s="12"/>
      <c r="J12" s="12"/>
    </row>
    <row r="13" customFormat="false" ht="30.75" hidden="false" customHeight="true" outlineLevel="0" collapsed="false">
      <c r="A13" s="39" t="s">
        <v>681</v>
      </c>
      <c r="B13" s="39"/>
      <c r="C13" s="12" t="s">
        <v>682</v>
      </c>
      <c r="D13" s="12"/>
      <c r="E13" s="12"/>
      <c r="F13" s="12"/>
      <c r="G13" s="12"/>
      <c r="H13" s="12" t="s">
        <v>683</v>
      </c>
      <c r="I13" s="12"/>
      <c r="J13" s="12"/>
    </row>
    <row r="14" customFormat="false" ht="18" hidden="false" customHeight="true" outlineLevel="0" collapsed="false">
      <c r="A14" s="40" t="s">
        <v>684</v>
      </c>
      <c r="B14" s="40"/>
      <c r="C14" s="12" t="s">
        <v>685</v>
      </c>
      <c r="D14" s="12"/>
      <c r="E14" s="12"/>
      <c r="F14" s="12"/>
      <c r="G14" s="12"/>
      <c r="H14" s="12" t="s">
        <v>686</v>
      </c>
      <c r="I14" s="12"/>
      <c r="J14" s="12"/>
    </row>
    <row r="15" customFormat="false" ht="30.75" hidden="false" customHeight="true" outlineLevel="0" collapsed="false">
      <c r="A15" s="41" t="s">
        <v>687</v>
      </c>
      <c r="B15" s="41"/>
      <c r="C15" s="12" t="s">
        <v>688</v>
      </c>
      <c r="D15" s="12"/>
      <c r="E15" s="12"/>
      <c r="F15" s="12"/>
      <c r="G15" s="12"/>
      <c r="H15" s="12" t="s">
        <v>689</v>
      </c>
      <c r="I15" s="12"/>
      <c r="J15" s="12"/>
    </row>
    <row r="16" customFormat="false" ht="30.75" hidden="false" customHeight="true" outlineLevel="0" collapsed="false">
      <c r="A16" s="42" t="s">
        <v>690</v>
      </c>
      <c r="B16" s="42"/>
      <c r="C16" s="12" t="s">
        <v>691</v>
      </c>
      <c r="D16" s="12"/>
      <c r="E16" s="12"/>
      <c r="F16" s="12"/>
      <c r="G16" s="12"/>
      <c r="H16" s="12" t="s">
        <v>692</v>
      </c>
      <c r="I16" s="12"/>
      <c r="J16" s="12"/>
    </row>
    <row r="17" customFormat="false" ht="18" hidden="false" customHeight="true" outlineLevel="0" collapsed="false"/>
    <row r="18" customFormat="false" ht="21.75" hidden="false" customHeight="true" outlineLevel="0" collapsed="false">
      <c r="A18" s="8" t="s">
        <v>693</v>
      </c>
      <c r="B18" s="8"/>
      <c r="C18" s="8"/>
      <c r="D18" s="8"/>
      <c r="E18" s="8"/>
      <c r="F18" s="8"/>
      <c r="G18" s="8"/>
      <c r="H18" s="8"/>
      <c r="I18" s="8"/>
      <c r="J18" s="8"/>
      <c r="K18" s="8"/>
    </row>
    <row r="19" customFormat="false" ht="43.5" hidden="false" customHeight="true" outlineLevel="0" collapsed="false">
      <c r="A19" s="2" t="s">
        <v>694</v>
      </c>
      <c r="B19" s="2"/>
      <c r="C19" s="2"/>
      <c r="D19" s="2"/>
      <c r="E19" s="2"/>
      <c r="F19" s="2"/>
      <c r="G19" s="2"/>
      <c r="H19" s="2"/>
      <c r="I19" s="2"/>
      <c r="J19" s="2"/>
      <c r="K19" s="2"/>
    </row>
    <row r="20" customFormat="false" ht="18" hidden="false" customHeight="true" outlineLevel="0" collapsed="false">
      <c r="A20" s="21" t="s">
        <v>695</v>
      </c>
      <c r="B20" s="9" t="s">
        <v>696</v>
      </c>
      <c r="C20" s="9" t="s">
        <v>669</v>
      </c>
      <c r="D20" s="9" t="s">
        <v>697</v>
      </c>
      <c r="E20" s="9" t="s">
        <v>698</v>
      </c>
      <c r="F20" s="9" t="s">
        <v>401</v>
      </c>
      <c r="G20" s="9" t="s">
        <v>699</v>
      </c>
      <c r="H20" s="9" t="s">
        <v>700</v>
      </c>
      <c r="I20" s="9" t="s">
        <v>701</v>
      </c>
      <c r="J20" s="9" t="s">
        <v>702</v>
      </c>
      <c r="K20" s="9" t="s">
        <v>406</v>
      </c>
    </row>
    <row r="21" customFormat="false" ht="43.5" hidden="false" customHeight="true" outlineLevel="0" collapsed="false">
      <c r="A21" s="22" t="s">
        <v>703</v>
      </c>
      <c r="B21" s="10" t="s">
        <v>704</v>
      </c>
      <c r="C21" s="43" t="s">
        <v>705</v>
      </c>
      <c r="D21" s="13" t="s">
        <v>706</v>
      </c>
      <c r="E21" s="29" t="s">
        <v>707</v>
      </c>
      <c r="F21" s="30" t="s">
        <v>409</v>
      </c>
      <c r="G21" s="44" t="s">
        <v>708</v>
      </c>
      <c r="H21" s="12" t="s">
        <v>709</v>
      </c>
      <c r="I21" s="12" t="s">
        <v>710</v>
      </c>
      <c r="J21" s="24"/>
      <c r="K21" s="31" t="s">
        <v>413</v>
      </c>
    </row>
    <row r="22" customFormat="false" ht="43.5" hidden="false" customHeight="true" outlineLevel="0" collapsed="false">
      <c r="A22" s="22" t="s">
        <v>703</v>
      </c>
      <c r="B22" s="10" t="s">
        <v>711</v>
      </c>
      <c r="C22" s="43" t="s">
        <v>705</v>
      </c>
      <c r="D22" s="13" t="s">
        <v>712</v>
      </c>
      <c r="E22" s="29" t="s">
        <v>707</v>
      </c>
      <c r="F22" s="30" t="s">
        <v>409</v>
      </c>
      <c r="G22" s="44" t="s">
        <v>708</v>
      </c>
      <c r="H22" s="12" t="s">
        <v>713</v>
      </c>
      <c r="I22" s="12" t="s">
        <v>714</v>
      </c>
      <c r="J22" s="24"/>
      <c r="K22" s="31" t="s">
        <v>413</v>
      </c>
    </row>
    <row r="23" customFormat="false" ht="43.5" hidden="false" customHeight="true" outlineLevel="0" collapsed="false">
      <c r="A23" s="22" t="s">
        <v>703</v>
      </c>
      <c r="B23" s="10" t="s">
        <v>715</v>
      </c>
      <c r="C23" s="43" t="s">
        <v>705</v>
      </c>
      <c r="D23" s="13" t="s">
        <v>716</v>
      </c>
      <c r="E23" s="29" t="s">
        <v>707</v>
      </c>
      <c r="F23" s="30" t="s">
        <v>409</v>
      </c>
      <c r="G23" s="44" t="s">
        <v>708</v>
      </c>
      <c r="H23" s="12" t="s">
        <v>717</v>
      </c>
      <c r="I23" s="12" t="s">
        <v>718</v>
      </c>
      <c r="J23" s="24"/>
      <c r="K23" s="31" t="s">
        <v>413</v>
      </c>
    </row>
    <row r="24" customFormat="false" ht="30.75" hidden="false" customHeight="true" outlineLevel="0" collapsed="false">
      <c r="A24" s="22" t="s">
        <v>703</v>
      </c>
      <c r="B24" s="10" t="s">
        <v>719</v>
      </c>
      <c r="C24" s="43" t="s">
        <v>705</v>
      </c>
      <c r="D24" s="13" t="s">
        <v>720</v>
      </c>
      <c r="E24" s="29" t="s">
        <v>707</v>
      </c>
      <c r="F24" s="30" t="s">
        <v>409</v>
      </c>
      <c r="G24" s="44" t="s">
        <v>708</v>
      </c>
      <c r="H24" s="12" t="s">
        <v>721</v>
      </c>
      <c r="I24" s="12" t="s">
        <v>722</v>
      </c>
      <c r="J24" s="24"/>
      <c r="K24" s="31" t="s">
        <v>413</v>
      </c>
    </row>
    <row r="25" customFormat="false" ht="30.75" hidden="false" customHeight="true" outlineLevel="0" collapsed="false">
      <c r="A25" s="22" t="s">
        <v>703</v>
      </c>
      <c r="B25" s="10" t="s">
        <v>723</v>
      </c>
      <c r="C25" s="43" t="s">
        <v>705</v>
      </c>
      <c r="D25" s="13" t="s">
        <v>724</v>
      </c>
      <c r="E25" s="29" t="s">
        <v>707</v>
      </c>
      <c r="F25" s="30" t="s">
        <v>409</v>
      </c>
      <c r="G25" s="44" t="s">
        <v>708</v>
      </c>
      <c r="H25" s="12" t="s">
        <v>725</v>
      </c>
      <c r="I25" s="12" t="s">
        <v>726</v>
      </c>
      <c r="J25" s="24"/>
      <c r="K25" s="31" t="s">
        <v>413</v>
      </c>
    </row>
    <row r="26" customFormat="false" ht="57" hidden="false" customHeight="true" outlineLevel="0" collapsed="false">
      <c r="A26" s="22" t="s">
        <v>703</v>
      </c>
      <c r="B26" s="10" t="s">
        <v>727</v>
      </c>
      <c r="C26" s="43" t="s">
        <v>705</v>
      </c>
      <c r="D26" s="13" t="s">
        <v>728</v>
      </c>
      <c r="E26" s="32" t="s">
        <v>729</v>
      </c>
      <c r="F26" s="30" t="s">
        <v>409</v>
      </c>
      <c r="G26" s="44" t="s">
        <v>730</v>
      </c>
      <c r="H26" s="12" t="s">
        <v>731</v>
      </c>
      <c r="I26" s="12" t="s">
        <v>732</v>
      </c>
      <c r="J26" s="24"/>
      <c r="K26" s="31" t="s">
        <v>413</v>
      </c>
    </row>
    <row r="27" customFormat="false" ht="69.75" hidden="false" customHeight="true" outlineLevel="0" collapsed="false">
      <c r="A27" s="22" t="s">
        <v>703</v>
      </c>
      <c r="B27" s="10" t="s">
        <v>733</v>
      </c>
      <c r="C27" s="43" t="s">
        <v>705</v>
      </c>
      <c r="D27" s="13" t="s">
        <v>734</v>
      </c>
      <c r="E27" s="45" t="s">
        <v>735</v>
      </c>
      <c r="F27" s="30" t="s">
        <v>409</v>
      </c>
      <c r="G27" s="44" t="s">
        <v>736</v>
      </c>
      <c r="H27" s="12" t="s">
        <v>737</v>
      </c>
      <c r="I27" s="12" t="s">
        <v>738</v>
      </c>
      <c r="J27" s="24"/>
      <c r="K27" s="31" t="s">
        <v>413</v>
      </c>
    </row>
    <row r="28" customFormat="false" ht="57" hidden="false" customHeight="true" outlineLevel="0" collapsed="false">
      <c r="A28" s="22" t="s">
        <v>703</v>
      </c>
      <c r="B28" s="10" t="s">
        <v>739</v>
      </c>
      <c r="C28" s="43" t="s">
        <v>705</v>
      </c>
      <c r="D28" s="13" t="s">
        <v>740</v>
      </c>
      <c r="E28" s="45" t="s">
        <v>735</v>
      </c>
      <c r="F28" s="30" t="s">
        <v>409</v>
      </c>
      <c r="G28" s="44" t="s">
        <v>741</v>
      </c>
      <c r="H28" s="12" t="s">
        <v>742</v>
      </c>
      <c r="I28" s="12" t="s">
        <v>743</v>
      </c>
      <c r="J28" s="24"/>
      <c r="K28" s="31" t="s">
        <v>413</v>
      </c>
    </row>
    <row r="29" customFormat="false" ht="57" hidden="false" customHeight="true" outlineLevel="0" collapsed="false">
      <c r="A29" s="22" t="s">
        <v>703</v>
      </c>
      <c r="B29" s="10" t="s">
        <v>744</v>
      </c>
      <c r="C29" s="46" t="s">
        <v>745</v>
      </c>
      <c r="D29" s="13" t="s">
        <v>746</v>
      </c>
      <c r="E29" s="45" t="s">
        <v>735</v>
      </c>
      <c r="F29" s="30" t="s">
        <v>409</v>
      </c>
      <c r="G29" s="44" t="s">
        <v>747</v>
      </c>
      <c r="H29" s="12" t="s">
        <v>748</v>
      </c>
      <c r="I29" s="12" t="s">
        <v>749</v>
      </c>
      <c r="J29" s="24"/>
      <c r="K29" s="31" t="s">
        <v>413</v>
      </c>
    </row>
    <row r="30" customFormat="false" ht="43.5" hidden="false" customHeight="true" outlineLevel="0" collapsed="false">
      <c r="A30" s="22" t="s">
        <v>703</v>
      </c>
      <c r="B30" s="10" t="s">
        <v>750</v>
      </c>
      <c r="C30" s="46" t="s">
        <v>745</v>
      </c>
      <c r="D30" s="13" t="s">
        <v>751</v>
      </c>
      <c r="E30" s="45" t="s">
        <v>735</v>
      </c>
      <c r="F30" s="30" t="s">
        <v>409</v>
      </c>
      <c r="G30" s="44" t="s">
        <v>752</v>
      </c>
      <c r="H30" s="12" t="s">
        <v>753</v>
      </c>
      <c r="I30" s="12" t="s">
        <v>754</v>
      </c>
      <c r="J30" s="24"/>
      <c r="K30" s="31" t="s">
        <v>413</v>
      </c>
    </row>
    <row r="31" customFormat="false" ht="43.5" hidden="false" customHeight="true" outlineLevel="0" collapsed="false">
      <c r="A31" s="22" t="s">
        <v>703</v>
      </c>
      <c r="B31" s="10" t="s">
        <v>755</v>
      </c>
      <c r="C31" s="46" t="s">
        <v>745</v>
      </c>
      <c r="D31" s="13" t="s">
        <v>756</v>
      </c>
      <c r="E31" s="45" t="s">
        <v>735</v>
      </c>
      <c r="F31" s="30" t="s">
        <v>409</v>
      </c>
      <c r="G31" s="44" t="s">
        <v>757</v>
      </c>
      <c r="H31" s="12" t="s">
        <v>758</v>
      </c>
      <c r="I31" s="12" t="s">
        <v>759</v>
      </c>
      <c r="J31" s="24"/>
      <c r="K31" s="31" t="s">
        <v>413</v>
      </c>
    </row>
    <row r="32" customFormat="false" ht="108.75" hidden="false" customHeight="true" outlineLevel="0" collapsed="false">
      <c r="A32" s="22" t="s">
        <v>703</v>
      </c>
      <c r="B32" s="10" t="s">
        <v>760</v>
      </c>
      <c r="C32" s="46" t="s">
        <v>745</v>
      </c>
      <c r="D32" s="13" t="s">
        <v>761</v>
      </c>
      <c r="E32" s="45" t="s">
        <v>735</v>
      </c>
      <c r="F32" s="33" t="s">
        <v>135</v>
      </c>
      <c r="G32" s="44" t="s">
        <v>762</v>
      </c>
      <c r="H32" s="12" t="s">
        <v>763</v>
      </c>
      <c r="I32" s="12" t="s">
        <v>764</v>
      </c>
      <c r="J32" s="24"/>
      <c r="K32" s="31" t="s">
        <v>413</v>
      </c>
    </row>
    <row r="33" customFormat="false" ht="57" hidden="false" customHeight="true" outlineLevel="0" collapsed="false">
      <c r="A33" s="22" t="s">
        <v>703</v>
      </c>
      <c r="B33" s="10" t="s">
        <v>765</v>
      </c>
      <c r="C33" s="46" t="s">
        <v>745</v>
      </c>
      <c r="D33" s="13" t="s">
        <v>766</v>
      </c>
      <c r="E33" s="45" t="s">
        <v>735</v>
      </c>
      <c r="F33" s="30" t="s">
        <v>409</v>
      </c>
      <c r="G33" s="44" t="s">
        <v>767</v>
      </c>
      <c r="H33" s="12" t="s">
        <v>768</v>
      </c>
      <c r="I33" s="12" t="s">
        <v>769</v>
      </c>
      <c r="J33" s="24"/>
      <c r="K33" s="31" t="s">
        <v>413</v>
      </c>
    </row>
    <row r="34" customFormat="false" ht="30.75" hidden="false" customHeight="true" outlineLevel="0" collapsed="false">
      <c r="A34" s="22" t="s">
        <v>703</v>
      </c>
      <c r="B34" s="10" t="s">
        <v>770</v>
      </c>
      <c r="C34" s="46" t="s">
        <v>745</v>
      </c>
      <c r="D34" s="13" t="s">
        <v>771</v>
      </c>
      <c r="E34" s="45" t="s">
        <v>735</v>
      </c>
      <c r="F34" s="30" t="s">
        <v>409</v>
      </c>
      <c r="G34" s="44" t="s">
        <v>772</v>
      </c>
      <c r="H34" s="12" t="s">
        <v>773</v>
      </c>
      <c r="I34" s="12" t="s">
        <v>774</v>
      </c>
      <c r="J34" s="24"/>
      <c r="K34" s="31" t="s">
        <v>413</v>
      </c>
    </row>
    <row r="35" customFormat="false" ht="108.75" hidden="false" customHeight="true" outlineLevel="0" collapsed="false">
      <c r="A35" s="22" t="s">
        <v>703</v>
      </c>
      <c r="B35" s="10" t="s">
        <v>775</v>
      </c>
      <c r="C35" s="46" t="s">
        <v>745</v>
      </c>
      <c r="D35" s="13" t="s">
        <v>776</v>
      </c>
      <c r="E35" s="45" t="s">
        <v>735</v>
      </c>
      <c r="F35" s="33" t="s">
        <v>135</v>
      </c>
      <c r="G35" s="44" t="s">
        <v>777</v>
      </c>
      <c r="H35" s="12" t="s">
        <v>778</v>
      </c>
      <c r="I35" s="12" t="s">
        <v>779</v>
      </c>
      <c r="J35" s="24"/>
      <c r="K35" s="31" t="s">
        <v>413</v>
      </c>
    </row>
    <row r="36" customFormat="false" ht="43.5" hidden="false" customHeight="true" outlineLevel="0" collapsed="false">
      <c r="A36" s="22" t="s">
        <v>703</v>
      </c>
      <c r="B36" s="10" t="s">
        <v>780</v>
      </c>
      <c r="C36" s="46" t="s">
        <v>745</v>
      </c>
      <c r="D36" s="13" t="s">
        <v>781</v>
      </c>
      <c r="E36" s="45" t="s">
        <v>735</v>
      </c>
      <c r="F36" s="30" t="s">
        <v>409</v>
      </c>
      <c r="G36" s="44" t="s">
        <v>782</v>
      </c>
      <c r="H36" s="12" t="s">
        <v>783</v>
      </c>
      <c r="I36" s="12" t="s">
        <v>784</v>
      </c>
      <c r="J36" s="24"/>
      <c r="K36" s="31" t="s">
        <v>413</v>
      </c>
    </row>
    <row r="37" customFormat="false" ht="43.5" hidden="false" customHeight="true" outlineLevel="0" collapsed="false">
      <c r="A37" s="22" t="s">
        <v>703</v>
      </c>
      <c r="B37" s="10" t="s">
        <v>785</v>
      </c>
      <c r="C37" s="46" t="s">
        <v>745</v>
      </c>
      <c r="D37" s="13" t="s">
        <v>786</v>
      </c>
      <c r="E37" s="45" t="s">
        <v>735</v>
      </c>
      <c r="F37" s="30" t="s">
        <v>409</v>
      </c>
      <c r="G37" s="44" t="s">
        <v>787</v>
      </c>
      <c r="H37" s="12" t="s">
        <v>788</v>
      </c>
      <c r="I37" s="12" t="s">
        <v>789</v>
      </c>
      <c r="J37" s="24"/>
      <c r="K37" s="31" t="s">
        <v>413</v>
      </c>
    </row>
    <row r="38" customFormat="false" ht="30.75" hidden="false" customHeight="true" outlineLevel="0" collapsed="false">
      <c r="A38" s="22" t="s">
        <v>703</v>
      </c>
      <c r="B38" s="10" t="s">
        <v>790</v>
      </c>
      <c r="C38" s="47" t="s">
        <v>791</v>
      </c>
      <c r="D38" s="13" t="s">
        <v>792</v>
      </c>
      <c r="E38" s="29" t="s">
        <v>707</v>
      </c>
      <c r="F38" s="30" t="s">
        <v>409</v>
      </c>
      <c r="G38" s="44" t="s">
        <v>708</v>
      </c>
      <c r="H38" s="12" t="s">
        <v>793</v>
      </c>
      <c r="I38" s="12" t="s">
        <v>794</v>
      </c>
      <c r="J38" s="24"/>
      <c r="K38" s="31" t="s">
        <v>413</v>
      </c>
    </row>
    <row r="39" customFormat="false" ht="30.75" hidden="false" customHeight="true" outlineLevel="0" collapsed="false">
      <c r="A39" s="22" t="s">
        <v>703</v>
      </c>
      <c r="B39" s="10" t="s">
        <v>795</v>
      </c>
      <c r="C39" s="47" t="s">
        <v>791</v>
      </c>
      <c r="D39" s="13" t="s">
        <v>796</v>
      </c>
      <c r="E39" s="29" t="s">
        <v>707</v>
      </c>
      <c r="F39" s="30" t="s">
        <v>409</v>
      </c>
      <c r="G39" s="44" t="s">
        <v>708</v>
      </c>
      <c r="H39" s="12" t="s">
        <v>797</v>
      </c>
      <c r="I39" s="12" t="s">
        <v>798</v>
      </c>
      <c r="J39" s="24"/>
      <c r="K39" s="31" t="s">
        <v>413</v>
      </c>
    </row>
    <row r="40" customFormat="false" ht="30.75" hidden="false" customHeight="true" outlineLevel="0" collapsed="false">
      <c r="A40" s="22" t="s">
        <v>703</v>
      </c>
      <c r="B40" s="10" t="s">
        <v>799</v>
      </c>
      <c r="C40" s="47" t="s">
        <v>791</v>
      </c>
      <c r="D40" s="13" t="s">
        <v>800</v>
      </c>
      <c r="E40" s="45" t="s">
        <v>735</v>
      </c>
      <c r="F40" s="30" t="s">
        <v>409</v>
      </c>
      <c r="G40" s="44" t="s">
        <v>801</v>
      </c>
      <c r="H40" s="12" t="s">
        <v>802</v>
      </c>
      <c r="I40" s="12" t="s">
        <v>803</v>
      </c>
      <c r="J40" s="24"/>
      <c r="K40" s="31" t="s">
        <v>413</v>
      </c>
    </row>
    <row r="41" customFormat="false" ht="30.75" hidden="false" customHeight="true" outlineLevel="0" collapsed="false">
      <c r="A41" s="22" t="s">
        <v>703</v>
      </c>
      <c r="B41" s="10" t="s">
        <v>804</v>
      </c>
      <c r="C41" s="47" t="s">
        <v>791</v>
      </c>
      <c r="D41" s="13" t="s">
        <v>805</v>
      </c>
      <c r="E41" s="45" t="s">
        <v>735</v>
      </c>
      <c r="F41" s="30" t="s">
        <v>409</v>
      </c>
      <c r="G41" s="44" t="s">
        <v>801</v>
      </c>
      <c r="H41" s="12" t="s">
        <v>806</v>
      </c>
      <c r="I41" s="12" t="s">
        <v>807</v>
      </c>
      <c r="J41" s="24"/>
      <c r="K41" s="31" t="s">
        <v>413</v>
      </c>
    </row>
    <row r="42" customFormat="false" ht="43.5" hidden="false" customHeight="true" outlineLevel="0" collapsed="false">
      <c r="A42" s="22" t="s">
        <v>703</v>
      </c>
      <c r="B42" s="10" t="s">
        <v>808</v>
      </c>
      <c r="C42" s="47" t="s">
        <v>791</v>
      </c>
      <c r="D42" s="13" t="s">
        <v>809</v>
      </c>
      <c r="E42" s="32" t="s">
        <v>729</v>
      </c>
      <c r="F42" s="30" t="s">
        <v>409</v>
      </c>
      <c r="G42" s="44" t="s">
        <v>730</v>
      </c>
      <c r="H42" s="12" t="s">
        <v>810</v>
      </c>
      <c r="I42" s="12" t="s">
        <v>811</v>
      </c>
      <c r="J42" s="24"/>
      <c r="K42" s="31" t="s">
        <v>413</v>
      </c>
    </row>
    <row r="43" customFormat="false" ht="319.5" hidden="false" customHeight="true" outlineLevel="0" collapsed="false">
      <c r="A43" s="22" t="s">
        <v>703</v>
      </c>
      <c r="B43" s="10" t="s">
        <v>411</v>
      </c>
      <c r="C43" s="48" t="s">
        <v>812</v>
      </c>
      <c r="D43" s="13" t="s">
        <v>813</v>
      </c>
      <c r="E43" s="45" t="s">
        <v>735</v>
      </c>
      <c r="F43" s="30" t="s">
        <v>409</v>
      </c>
      <c r="G43" s="44" t="s">
        <v>814</v>
      </c>
      <c r="H43" s="12" t="s">
        <v>815</v>
      </c>
      <c r="I43" s="12" t="s">
        <v>816</v>
      </c>
      <c r="J43" s="24"/>
      <c r="K43" s="31" t="s">
        <v>413</v>
      </c>
    </row>
    <row r="44" customFormat="false" ht="43.5" hidden="false" customHeight="true" outlineLevel="0" collapsed="false">
      <c r="A44" s="22" t="s">
        <v>703</v>
      </c>
      <c r="B44" s="10" t="s">
        <v>817</v>
      </c>
      <c r="C44" s="48" t="s">
        <v>812</v>
      </c>
      <c r="D44" s="13" t="s">
        <v>818</v>
      </c>
      <c r="E44" s="45" t="s">
        <v>735</v>
      </c>
      <c r="F44" s="30" t="s">
        <v>409</v>
      </c>
      <c r="G44" s="44" t="s">
        <v>801</v>
      </c>
      <c r="H44" s="12" t="s">
        <v>819</v>
      </c>
      <c r="I44" s="12" t="s">
        <v>820</v>
      </c>
      <c r="J44" s="24"/>
      <c r="K44" s="31" t="s">
        <v>413</v>
      </c>
    </row>
    <row r="45" customFormat="false" ht="108.75" hidden="false" customHeight="true" outlineLevel="0" collapsed="false">
      <c r="A45" s="22" t="s">
        <v>703</v>
      </c>
      <c r="B45" s="10" t="s">
        <v>821</v>
      </c>
      <c r="C45" s="48" t="s">
        <v>812</v>
      </c>
      <c r="D45" s="13" t="s">
        <v>822</v>
      </c>
      <c r="E45" s="45" t="s">
        <v>735</v>
      </c>
      <c r="F45" s="30" t="s">
        <v>409</v>
      </c>
      <c r="G45" s="44" t="s">
        <v>823</v>
      </c>
      <c r="H45" s="12" t="s">
        <v>824</v>
      </c>
      <c r="I45" s="12" t="s">
        <v>825</v>
      </c>
      <c r="J45" s="24"/>
      <c r="K45" s="31" t="s">
        <v>413</v>
      </c>
    </row>
    <row r="46" customFormat="false" ht="199.5" hidden="false" customHeight="true" outlineLevel="0" collapsed="false">
      <c r="A46" s="22" t="s">
        <v>703</v>
      </c>
      <c r="B46" s="10" t="s">
        <v>826</v>
      </c>
      <c r="C46" s="48" t="s">
        <v>812</v>
      </c>
      <c r="D46" s="13" t="s">
        <v>827</v>
      </c>
      <c r="E46" s="45" t="s">
        <v>735</v>
      </c>
      <c r="F46" s="30" t="s">
        <v>409</v>
      </c>
      <c r="G46" s="44" t="s">
        <v>828</v>
      </c>
      <c r="H46" s="12" t="s">
        <v>829</v>
      </c>
      <c r="I46" s="12" t="s">
        <v>830</v>
      </c>
      <c r="J46" s="24"/>
      <c r="K46" s="31" t="s">
        <v>413</v>
      </c>
    </row>
    <row r="47" customFormat="false" ht="57" hidden="false" customHeight="true" outlineLevel="0" collapsed="false">
      <c r="A47" s="22" t="s">
        <v>703</v>
      </c>
      <c r="B47" s="10" t="s">
        <v>831</v>
      </c>
      <c r="C47" s="48" t="s">
        <v>812</v>
      </c>
      <c r="D47" s="13" t="s">
        <v>832</v>
      </c>
      <c r="E47" s="45" t="s">
        <v>735</v>
      </c>
      <c r="F47" s="30" t="s">
        <v>409</v>
      </c>
      <c r="G47" s="44" t="s">
        <v>833</v>
      </c>
      <c r="H47" s="12" t="s">
        <v>834</v>
      </c>
      <c r="I47" s="12" t="s">
        <v>835</v>
      </c>
      <c r="J47" s="24"/>
      <c r="K47" s="31" t="s">
        <v>413</v>
      </c>
    </row>
    <row r="48" customFormat="false" ht="135" hidden="false" customHeight="true" outlineLevel="0" collapsed="false">
      <c r="A48" s="22" t="s">
        <v>703</v>
      </c>
      <c r="B48" s="10" t="s">
        <v>836</v>
      </c>
      <c r="C48" s="48" t="s">
        <v>812</v>
      </c>
      <c r="D48" s="13" t="s">
        <v>837</v>
      </c>
      <c r="E48" s="45" t="s">
        <v>735</v>
      </c>
      <c r="F48" s="33" t="s">
        <v>135</v>
      </c>
      <c r="G48" s="44" t="s">
        <v>838</v>
      </c>
      <c r="H48" s="12" t="s">
        <v>839</v>
      </c>
      <c r="I48" s="12" t="s">
        <v>840</v>
      </c>
      <c r="J48" s="24"/>
      <c r="K48" s="31" t="s">
        <v>413</v>
      </c>
    </row>
    <row r="49" customFormat="false" ht="43.5" hidden="false" customHeight="true" outlineLevel="0" collapsed="false">
      <c r="A49" s="22" t="s">
        <v>703</v>
      </c>
      <c r="B49" s="10" t="s">
        <v>841</v>
      </c>
      <c r="C49" s="48" t="s">
        <v>812</v>
      </c>
      <c r="D49" s="13" t="s">
        <v>842</v>
      </c>
      <c r="E49" s="45" t="s">
        <v>735</v>
      </c>
      <c r="F49" s="30" t="s">
        <v>409</v>
      </c>
      <c r="G49" s="44" t="s">
        <v>843</v>
      </c>
      <c r="H49" s="12" t="s">
        <v>844</v>
      </c>
      <c r="I49" s="12" t="s">
        <v>845</v>
      </c>
      <c r="J49" s="24"/>
      <c r="K49" s="31" t="s">
        <v>413</v>
      </c>
    </row>
    <row r="50" customFormat="false" ht="238.5" hidden="false" customHeight="true" outlineLevel="0" collapsed="false">
      <c r="A50" s="22" t="s">
        <v>703</v>
      </c>
      <c r="B50" s="10" t="s">
        <v>846</v>
      </c>
      <c r="C50" s="48" t="s">
        <v>812</v>
      </c>
      <c r="D50" s="13" t="s">
        <v>847</v>
      </c>
      <c r="E50" s="45" t="s">
        <v>735</v>
      </c>
      <c r="F50" s="33" t="s">
        <v>135</v>
      </c>
      <c r="G50" s="44" t="s">
        <v>848</v>
      </c>
      <c r="H50" s="12" t="s">
        <v>849</v>
      </c>
      <c r="I50" s="12" t="s">
        <v>850</v>
      </c>
      <c r="J50" s="24"/>
      <c r="K50" s="31" t="s">
        <v>413</v>
      </c>
    </row>
    <row r="51" customFormat="false" ht="121.5" hidden="false" customHeight="true" outlineLevel="0" collapsed="false">
      <c r="A51" s="22" t="s">
        <v>703</v>
      </c>
      <c r="B51" s="10" t="s">
        <v>851</v>
      </c>
      <c r="C51" s="49" t="s">
        <v>852</v>
      </c>
      <c r="D51" s="13" t="s">
        <v>853</v>
      </c>
      <c r="E51" s="45" t="s">
        <v>735</v>
      </c>
      <c r="F51" s="30" t="s">
        <v>409</v>
      </c>
      <c r="G51" s="44" t="s">
        <v>854</v>
      </c>
      <c r="H51" s="12" t="s">
        <v>855</v>
      </c>
      <c r="I51" s="12" t="s">
        <v>856</v>
      </c>
      <c r="J51" s="24"/>
      <c r="K51" s="31" t="s">
        <v>413</v>
      </c>
    </row>
    <row r="52" customFormat="false" ht="174" hidden="false" customHeight="true" outlineLevel="0" collapsed="false">
      <c r="A52" s="22" t="s">
        <v>703</v>
      </c>
      <c r="B52" s="10" t="s">
        <v>857</v>
      </c>
      <c r="C52" s="49" t="s">
        <v>852</v>
      </c>
      <c r="D52" s="13" t="s">
        <v>858</v>
      </c>
      <c r="E52" s="45" t="s">
        <v>735</v>
      </c>
      <c r="F52" s="30" t="s">
        <v>409</v>
      </c>
      <c r="G52" s="44" t="s">
        <v>859</v>
      </c>
      <c r="H52" s="12" t="s">
        <v>860</v>
      </c>
      <c r="I52" s="12" t="s">
        <v>861</v>
      </c>
      <c r="J52" s="24"/>
      <c r="K52" s="31" t="s">
        <v>413</v>
      </c>
    </row>
    <row r="53" customFormat="false" ht="199.5" hidden="false" customHeight="true" outlineLevel="0" collapsed="false">
      <c r="A53" s="22" t="s">
        <v>703</v>
      </c>
      <c r="B53" s="10" t="s">
        <v>862</v>
      </c>
      <c r="C53" s="49" t="s">
        <v>852</v>
      </c>
      <c r="D53" s="13" t="s">
        <v>863</v>
      </c>
      <c r="E53" s="45" t="s">
        <v>735</v>
      </c>
      <c r="F53" s="30" t="s">
        <v>409</v>
      </c>
      <c r="G53" s="44" t="s">
        <v>864</v>
      </c>
      <c r="H53" s="12" t="s">
        <v>865</v>
      </c>
      <c r="I53" s="12" t="s">
        <v>866</v>
      </c>
      <c r="J53" s="24"/>
      <c r="K53" s="31" t="s">
        <v>413</v>
      </c>
    </row>
    <row r="54" customFormat="false" ht="43.5" hidden="false" customHeight="true" outlineLevel="0" collapsed="false">
      <c r="A54" s="22" t="s">
        <v>703</v>
      </c>
      <c r="B54" s="10" t="s">
        <v>867</v>
      </c>
      <c r="C54" s="49" t="s">
        <v>852</v>
      </c>
      <c r="D54" s="13" t="s">
        <v>868</v>
      </c>
      <c r="E54" s="45" t="s">
        <v>735</v>
      </c>
      <c r="F54" s="30" t="s">
        <v>409</v>
      </c>
      <c r="G54" s="44" t="s">
        <v>801</v>
      </c>
      <c r="H54" s="12" t="s">
        <v>869</v>
      </c>
      <c r="I54" s="12" t="s">
        <v>870</v>
      </c>
      <c r="J54" s="24"/>
      <c r="K54" s="31" t="s">
        <v>413</v>
      </c>
    </row>
    <row r="55" customFormat="false" ht="57" hidden="false" customHeight="true" outlineLevel="0" collapsed="false">
      <c r="A55" s="22" t="s">
        <v>703</v>
      </c>
      <c r="B55" s="10" t="s">
        <v>871</v>
      </c>
      <c r="C55" s="49" t="s">
        <v>852</v>
      </c>
      <c r="D55" s="13" t="s">
        <v>872</v>
      </c>
      <c r="E55" s="45" t="s">
        <v>735</v>
      </c>
      <c r="F55" s="30" t="s">
        <v>409</v>
      </c>
      <c r="G55" s="44" t="s">
        <v>873</v>
      </c>
      <c r="H55" s="12" t="s">
        <v>874</v>
      </c>
      <c r="I55" s="12" t="s">
        <v>875</v>
      </c>
      <c r="J55" s="24"/>
      <c r="K55" s="31" t="s">
        <v>413</v>
      </c>
    </row>
    <row r="56" customFormat="false" ht="57" hidden="false" customHeight="true" outlineLevel="0" collapsed="false">
      <c r="A56" s="22" t="s">
        <v>703</v>
      </c>
      <c r="B56" s="10" t="s">
        <v>876</v>
      </c>
      <c r="C56" s="49" t="s">
        <v>852</v>
      </c>
      <c r="D56" s="13" t="s">
        <v>877</v>
      </c>
      <c r="E56" s="45" t="s">
        <v>735</v>
      </c>
      <c r="F56" s="30" t="s">
        <v>409</v>
      </c>
      <c r="G56" s="44" t="s">
        <v>878</v>
      </c>
      <c r="H56" s="12" t="s">
        <v>879</v>
      </c>
      <c r="I56" s="12" t="s">
        <v>880</v>
      </c>
      <c r="J56" s="24"/>
      <c r="K56" s="31" t="s">
        <v>413</v>
      </c>
    </row>
    <row r="57" customFormat="false" ht="57" hidden="false" customHeight="true" outlineLevel="0" collapsed="false">
      <c r="A57" s="22" t="s">
        <v>703</v>
      </c>
      <c r="B57" s="10" t="s">
        <v>881</v>
      </c>
      <c r="C57" s="49" t="s">
        <v>852</v>
      </c>
      <c r="D57" s="13" t="s">
        <v>882</v>
      </c>
      <c r="E57" s="45" t="s">
        <v>735</v>
      </c>
      <c r="F57" s="30" t="s">
        <v>409</v>
      </c>
      <c r="G57" s="44" t="s">
        <v>883</v>
      </c>
      <c r="H57" s="12" t="s">
        <v>884</v>
      </c>
      <c r="I57" s="12" t="s">
        <v>885</v>
      </c>
      <c r="J57" s="24"/>
      <c r="K57" s="31" t="s">
        <v>413</v>
      </c>
    </row>
    <row r="58" customFormat="false" ht="30.75" hidden="false" customHeight="true" outlineLevel="0" collapsed="false">
      <c r="A58" s="22" t="s">
        <v>703</v>
      </c>
      <c r="B58" s="10" t="s">
        <v>886</v>
      </c>
      <c r="C58" s="49" t="s">
        <v>852</v>
      </c>
      <c r="D58" s="13" t="s">
        <v>887</v>
      </c>
      <c r="E58" s="45" t="s">
        <v>735</v>
      </c>
      <c r="F58" s="30" t="s">
        <v>409</v>
      </c>
      <c r="G58" s="44" t="s">
        <v>801</v>
      </c>
      <c r="H58" s="12" t="s">
        <v>888</v>
      </c>
      <c r="I58" s="12" t="s">
        <v>889</v>
      </c>
      <c r="J58" s="24"/>
      <c r="K58" s="31" t="s">
        <v>413</v>
      </c>
    </row>
    <row r="59" customFormat="false" ht="43.5" hidden="false" customHeight="true" outlineLevel="0" collapsed="false">
      <c r="A59" s="22" t="s">
        <v>703</v>
      </c>
      <c r="B59" s="10" t="s">
        <v>890</v>
      </c>
      <c r="C59" s="49" t="s">
        <v>852</v>
      </c>
      <c r="D59" s="13" t="s">
        <v>891</v>
      </c>
      <c r="E59" s="45" t="s">
        <v>735</v>
      </c>
      <c r="F59" s="30" t="s">
        <v>409</v>
      </c>
      <c r="G59" s="44" t="s">
        <v>892</v>
      </c>
      <c r="H59" s="12" t="s">
        <v>893</v>
      </c>
      <c r="I59" s="12" t="s">
        <v>894</v>
      </c>
      <c r="J59" s="24"/>
      <c r="K59" s="31" t="s">
        <v>413</v>
      </c>
    </row>
    <row r="60" customFormat="false" ht="57" hidden="false" customHeight="true" outlineLevel="0" collapsed="false">
      <c r="A60" s="22" t="s">
        <v>703</v>
      </c>
      <c r="B60" s="10" t="s">
        <v>895</v>
      </c>
      <c r="C60" s="49" t="s">
        <v>852</v>
      </c>
      <c r="D60" s="13" t="s">
        <v>896</v>
      </c>
      <c r="E60" s="45" t="s">
        <v>735</v>
      </c>
      <c r="F60" s="30" t="s">
        <v>409</v>
      </c>
      <c r="G60" s="44" t="s">
        <v>897</v>
      </c>
      <c r="H60" s="12" t="s">
        <v>898</v>
      </c>
      <c r="I60" s="12" t="s">
        <v>899</v>
      </c>
      <c r="J60" s="24"/>
      <c r="K60" s="31" t="s">
        <v>413</v>
      </c>
    </row>
    <row r="61" customFormat="false" ht="199.5" hidden="false" customHeight="true" outlineLevel="0" collapsed="false">
      <c r="A61" s="22" t="s">
        <v>703</v>
      </c>
      <c r="B61" s="10" t="s">
        <v>900</v>
      </c>
      <c r="C61" s="50" t="s">
        <v>901</v>
      </c>
      <c r="D61" s="13" t="s">
        <v>902</v>
      </c>
      <c r="E61" s="45" t="s">
        <v>735</v>
      </c>
      <c r="F61" s="33" t="s">
        <v>135</v>
      </c>
      <c r="G61" s="44" t="s">
        <v>903</v>
      </c>
      <c r="H61" s="12" t="s">
        <v>904</v>
      </c>
      <c r="I61" s="12" t="s">
        <v>905</v>
      </c>
      <c r="J61" s="24"/>
      <c r="K61" s="31" t="s">
        <v>413</v>
      </c>
    </row>
    <row r="62" customFormat="false" ht="186.75" hidden="false" customHeight="true" outlineLevel="0" collapsed="false">
      <c r="A62" s="22" t="s">
        <v>703</v>
      </c>
      <c r="B62" s="10" t="s">
        <v>906</v>
      </c>
      <c r="C62" s="50" t="s">
        <v>901</v>
      </c>
      <c r="D62" s="13" t="s">
        <v>907</v>
      </c>
      <c r="E62" s="45" t="s">
        <v>735</v>
      </c>
      <c r="F62" s="33" t="s">
        <v>135</v>
      </c>
      <c r="G62" s="44" t="s">
        <v>908</v>
      </c>
      <c r="H62" s="12" t="s">
        <v>909</v>
      </c>
      <c r="I62" s="12" t="s">
        <v>910</v>
      </c>
      <c r="J62" s="24"/>
      <c r="K62" s="31" t="s">
        <v>413</v>
      </c>
    </row>
    <row r="63" customFormat="false" ht="96" hidden="false" customHeight="true" outlineLevel="0" collapsed="false">
      <c r="A63" s="22" t="s">
        <v>703</v>
      </c>
      <c r="B63" s="10" t="s">
        <v>911</v>
      </c>
      <c r="C63" s="50" t="s">
        <v>901</v>
      </c>
      <c r="D63" s="13" t="s">
        <v>912</v>
      </c>
      <c r="E63" s="45" t="s">
        <v>735</v>
      </c>
      <c r="F63" s="33" t="s">
        <v>135</v>
      </c>
      <c r="G63" s="44" t="s">
        <v>913</v>
      </c>
      <c r="H63" s="12" t="s">
        <v>914</v>
      </c>
      <c r="I63" s="12" t="s">
        <v>915</v>
      </c>
      <c r="J63" s="24"/>
      <c r="K63" s="31" t="s">
        <v>413</v>
      </c>
    </row>
    <row r="64" customFormat="false" ht="121.5" hidden="false" customHeight="true" outlineLevel="0" collapsed="false">
      <c r="A64" s="22" t="s">
        <v>703</v>
      </c>
      <c r="B64" s="10" t="s">
        <v>916</v>
      </c>
      <c r="C64" s="50" t="s">
        <v>901</v>
      </c>
      <c r="D64" s="13" t="s">
        <v>917</v>
      </c>
      <c r="E64" s="45" t="s">
        <v>735</v>
      </c>
      <c r="F64" s="33" t="s">
        <v>135</v>
      </c>
      <c r="G64" s="44" t="s">
        <v>918</v>
      </c>
      <c r="H64" s="12" t="s">
        <v>919</v>
      </c>
      <c r="I64" s="12" t="s">
        <v>920</v>
      </c>
      <c r="J64" s="24"/>
      <c r="K64" s="31" t="s">
        <v>413</v>
      </c>
    </row>
    <row r="65" customFormat="false" ht="135" hidden="false" customHeight="true" outlineLevel="0" collapsed="false">
      <c r="A65" s="22" t="s">
        <v>703</v>
      </c>
      <c r="B65" s="10" t="s">
        <v>921</v>
      </c>
      <c r="C65" s="50" t="s">
        <v>901</v>
      </c>
      <c r="D65" s="13" t="s">
        <v>922</v>
      </c>
      <c r="E65" s="45" t="s">
        <v>735</v>
      </c>
      <c r="F65" s="33" t="s">
        <v>135</v>
      </c>
      <c r="G65" s="44" t="s">
        <v>923</v>
      </c>
      <c r="H65" s="12" t="s">
        <v>924</v>
      </c>
      <c r="I65" s="12" t="s">
        <v>925</v>
      </c>
      <c r="J65" s="24"/>
      <c r="K65" s="31" t="s">
        <v>413</v>
      </c>
    </row>
    <row r="66" customFormat="false" ht="108.75" hidden="false" customHeight="true" outlineLevel="0" collapsed="false">
      <c r="A66" s="22" t="s">
        <v>703</v>
      </c>
      <c r="B66" s="10" t="s">
        <v>926</v>
      </c>
      <c r="C66" s="50" t="s">
        <v>901</v>
      </c>
      <c r="D66" s="13" t="s">
        <v>927</v>
      </c>
      <c r="E66" s="45" t="s">
        <v>735</v>
      </c>
      <c r="F66" s="33" t="s">
        <v>135</v>
      </c>
      <c r="G66" s="44" t="s">
        <v>928</v>
      </c>
      <c r="H66" s="12" t="s">
        <v>929</v>
      </c>
      <c r="I66" s="12" t="s">
        <v>930</v>
      </c>
      <c r="J66" s="24"/>
      <c r="K66" s="31" t="s">
        <v>413</v>
      </c>
    </row>
    <row r="67" customFormat="false" ht="174" hidden="false" customHeight="true" outlineLevel="0" collapsed="false">
      <c r="A67" s="22" t="s">
        <v>703</v>
      </c>
      <c r="B67" s="10" t="s">
        <v>931</v>
      </c>
      <c r="C67" s="50" t="s">
        <v>901</v>
      </c>
      <c r="D67" s="13" t="s">
        <v>932</v>
      </c>
      <c r="E67" s="45" t="s">
        <v>735</v>
      </c>
      <c r="F67" s="33" t="s">
        <v>135</v>
      </c>
      <c r="G67" s="44" t="s">
        <v>933</v>
      </c>
      <c r="H67" s="12" t="s">
        <v>934</v>
      </c>
      <c r="I67" s="12" t="s">
        <v>935</v>
      </c>
      <c r="J67" s="24"/>
      <c r="K67" s="31" t="s">
        <v>413</v>
      </c>
    </row>
    <row r="68" customFormat="false" ht="57" hidden="false" customHeight="true" outlineLevel="0" collapsed="false">
      <c r="A68" s="22" t="s">
        <v>703</v>
      </c>
      <c r="B68" s="10" t="s">
        <v>936</v>
      </c>
      <c r="C68" s="50" t="s">
        <v>901</v>
      </c>
      <c r="D68" s="13" t="s">
        <v>937</v>
      </c>
      <c r="E68" s="45" t="s">
        <v>735</v>
      </c>
      <c r="F68" s="33" t="s">
        <v>135</v>
      </c>
      <c r="G68" s="44" t="s">
        <v>938</v>
      </c>
      <c r="H68" s="12" t="s">
        <v>939</v>
      </c>
      <c r="I68" s="12" t="s">
        <v>940</v>
      </c>
      <c r="J68" s="24"/>
      <c r="K68" s="31" t="s">
        <v>413</v>
      </c>
    </row>
    <row r="69" customFormat="false" ht="213" hidden="false" customHeight="true" outlineLevel="0" collapsed="false">
      <c r="A69" s="22" t="s">
        <v>703</v>
      </c>
      <c r="B69" s="10" t="s">
        <v>941</v>
      </c>
      <c r="C69" s="50" t="s">
        <v>901</v>
      </c>
      <c r="D69" s="13" t="s">
        <v>942</v>
      </c>
      <c r="E69" s="45" t="s">
        <v>735</v>
      </c>
      <c r="F69" s="33" t="s">
        <v>135</v>
      </c>
      <c r="G69" s="44" t="s">
        <v>943</v>
      </c>
      <c r="H69" s="12" t="s">
        <v>944</v>
      </c>
      <c r="I69" s="12" t="s">
        <v>945</v>
      </c>
      <c r="J69" s="24"/>
      <c r="K69" s="31" t="s">
        <v>413</v>
      </c>
    </row>
    <row r="70" customFormat="false" ht="96" hidden="false" customHeight="true" outlineLevel="0" collapsed="false">
      <c r="A70" s="22" t="s">
        <v>703</v>
      </c>
      <c r="B70" s="10" t="s">
        <v>946</v>
      </c>
      <c r="C70" s="50" t="s">
        <v>901</v>
      </c>
      <c r="D70" s="13" t="s">
        <v>947</v>
      </c>
      <c r="E70" s="45" t="s">
        <v>735</v>
      </c>
      <c r="F70" s="33" t="s">
        <v>135</v>
      </c>
      <c r="G70" s="44" t="s">
        <v>948</v>
      </c>
      <c r="H70" s="12" t="s">
        <v>949</v>
      </c>
      <c r="I70" s="12" t="s">
        <v>950</v>
      </c>
      <c r="J70" s="24"/>
      <c r="K70" s="31" t="s">
        <v>413</v>
      </c>
    </row>
    <row r="71" customFormat="false" ht="108.75" hidden="false" customHeight="true" outlineLevel="0" collapsed="false">
      <c r="A71" s="22" t="s">
        <v>703</v>
      </c>
      <c r="B71" s="10" t="s">
        <v>951</v>
      </c>
      <c r="C71" s="50" t="s">
        <v>901</v>
      </c>
      <c r="D71" s="13" t="s">
        <v>952</v>
      </c>
      <c r="E71" s="45" t="s">
        <v>735</v>
      </c>
      <c r="F71" s="33" t="s">
        <v>135</v>
      </c>
      <c r="G71" s="44" t="s">
        <v>953</v>
      </c>
      <c r="H71" s="12" t="s">
        <v>954</v>
      </c>
      <c r="I71" s="12" t="s">
        <v>955</v>
      </c>
      <c r="J71" s="24"/>
      <c r="K71" s="31" t="s">
        <v>413</v>
      </c>
    </row>
    <row r="72" customFormat="false" ht="43.5" hidden="false" customHeight="true" outlineLevel="0" collapsed="false">
      <c r="A72" s="22" t="s">
        <v>703</v>
      </c>
      <c r="B72" s="10" t="s">
        <v>956</v>
      </c>
      <c r="C72" s="50" t="s">
        <v>901</v>
      </c>
      <c r="D72" s="13" t="s">
        <v>957</v>
      </c>
      <c r="E72" s="45" t="s">
        <v>735</v>
      </c>
      <c r="F72" s="33" t="s">
        <v>135</v>
      </c>
      <c r="G72" s="44" t="s">
        <v>958</v>
      </c>
      <c r="H72" s="12" t="s">
        <v>959</v>
      </c>
      <c r="I72" s="12" t="s">
        <v>960</v>
      </c>
      <c r="J72" s="24"/>
      <c r="K72" s="31" t="s">
        <v>413</v>
      </c>
    </row>
    <row r="73" customFormat="false" ht="30.75" hidden="false" customHeight="true" outlineLevel="0" collapsed="false">
      <c r="A73" s="22" t="s">
        <v>703</v>
      </c>
      <c r="B73" s="10" t="s">
        <v>961</v>
      </c>
      <c r="C73" s="51" t="s">
        <v>962</v>
      </c>
      <c r="D73" s="13" t="s">
        <v>963</v>
      </c>
      <c r="E73" s="45" t="s">
        <v>735</v>
      </c>
      <c r="F73" s="30" t="s">
        <v>409</v>
      </c>
      <c r="G73" s="44" t="s">
        <v>964</v>
      </c>
      <c r="H73" s="12" t="s">
        <v>965</v>
      </c>
      <c r="I73" s="12" t="s">
        <v>966</v>
      </c>
      <c r="J73" s="24"/>
      <c r="K73" s="31" t="s">
        <v>413</v>
      </c>
    </row>
    <row r="74" customFormat="false" ht="30.75" hidden="false" customHeight="true" outlineLevel="0" collapsed="false">
      <c r="A74" s="22" t="s">
        <v>703</v>
      </c>
      <c r="B74" s="10" t="s">
        <v>967</v>
      </c>
      <c r="C74" s="51" t="s">
        <v>962</v>
      </c>
      <c r="D74" s="13" t="s">
        <v>968</v>
      </c>
      <c r="E74" s="45" t="s">
        <v>735</v>
      </c>
      <c r="F74" s="30" t="s">
        <v>409</v>
      </c>
      <c r="G74" s="44" t="s">
        <v>964</v>
      </c>
      <c r="H74" s="12" t="s">
        <v>969</v>
      </c>
      <c r="I74" s="12" t="s">
        <v>970</v>
      </c>
      <c r="J74" s="24"/>
      <c r="K74" s="31" t="s">
        <v>413</v>
      </c>
    </row>
    <row r="75" customFormat="false" ht="30.75" hidden="false" customHeight="true" outlineLevel="0" collapsed="false">
      <c r="A75" s="22" t="s">
        <v>703</v>
      </c>
      <c r="B75" s="10" t="s">
        <v>971</v>
      </c>
      <c r="C75" s="51" t="s">
        <v>962</v>
      </c>
      <c r="D75" s="13" t="s">
        <v>972</v>
      </c>
      <c r="E75" s="45" t="s">
        <v>735</v>
      </c>
      <c r="F75" s="30" t="s">
        <v>409</v>
      </c>
      <c r="G75" s="44" t="s">
        <v>964</v>
      </c>
      <c r="H75" s="12" t="s">
        <v>973</v>
      </c>
      <c r="I75" s="12" t="s">
        <v>974</v>
      </c>
      <c r="J75" s="24"/>
      <c r="K75" s="31" t="s">
        <v>413</v>
      </c>
    </row>
    <row r="76" customFormat="false" ht="43.5" hidden="false" customHeight="true" outlineLevel="0" collapsed="false">
      <c r="A76" s="22" t="s">
        <v>703</v>
      </c>
      <c r="B76" s="10" t="s">
        <v>975</v>
      </c>
      <c r="C76" s="51" t="s">
        <v>962</v>
      </c>
      <c r="D76" s="13" t="s">
        <v>976</v>
      </c>
      <c r="E76" s="45" t="s">
        <v>735</v>
      </c>
      <c r="F76" s="30" t="s">
        <v>409</v>
      </c>
      <c r="G76" s="44" t="s">
        <v>977</v>
      </c>
      <c r="H76" s="12" t="s">
        <v>978</v>
      </c>
      <c r="I76" s="12" t="s">
        <v>979</v>
      </c>
      <c r="J76" s="24"/>
      <c r="K76" s="31" t="s">
        <v>413</v>
      </c>
    </row>
    <row r="77" customFormat="false" ht="43.5" hidden="false" customHeight="true" outlineLevel="0" collapsed="false">
      <c r="A77" s="22" t="s">
        <v>703</v>
      </c>
      <c r="B77" s="10" t="s">
        <v>980</v>
      </c>
      <c r="C77" s="51" t="s">
        <v>962</v>
      </c>
      <c r="D77" s="13" t="s">
        <v>981</v>
      </c>
      <c r="E77" s="45" t="s">
        <v>735</v>
      </c>
      <c r="F77" s="30" t="s">
        <v>409</v>
      </c>
      <c r="G77" s="44" t="s">
        <v>977</v>
      </c>
      <c r="H77" s="12" t="s">
        <v>982</v>
      </c>
      <c r="I77" s="12" t="s">
        <v>983</v>
      </c>
      <c r="J77" s="24"/>
      <c r="K77" s="31" t="s">
        <v>413</v>
      </c>
    </row>
    <row r="78" customFormat="false" ht="57" hidden="false" customHeight="true" outlineLevel="0" collapsed="false">
      <c r="A78" s="22" t="s">
        <v>703</v>
      </c>
      <c r="B78" s="10" t="s">
        <v>984</v>
      </c>
      <c r="C78" s="51" t="s">
        <v>962</v>
      </c>
      <c r="D78" s="13" t="s">
        <v>985</v>
      </c>
      <c r="E78" s="45" t="s">
        <v>735</v>
      </c>
      <c r="F78" s="30" t="s">
        <v>409</v>
      </c>
      <c r="G78" s="44" t="s">
        <v>986</v>
      </c>
      <c r="H78" s="12" t="s">
        <v>987</v>
      </c>
      <c r="I78" s="12" t="s">
        <v>988</v>
      </c>
      <c r="J78" s="24"/>
      <c r="K78" s="31" t="s">
        <v>413</v>
      </c>
    </row>
    <row r="79" customFormat="false" ht="43.5" hidden="false" customHeight="true" outlineLevel="0" collapsed="false">
      <c r="A79" s="22" t="s">
        <v>703</v>
      </c>
      <c r="B79" s="10" t="s">
        <v>989</v>
      </c>
      <c r="C79" s="51" t="s">
        <v>962</v>
      </c>
      <c r="D79" s="13" t="s">
        <v>990</v>
      </c>
      <c r="E79" s="45" t="s">
        <v>735</v>
      </c>
      <c r="F79" s="30" t="s">
        <v>409</v>
      </c>
      <c r="G79" s="44" t="s">
        <v>991</v>
      </c>
      <c r="H79" s="12" t="s">
        <v>992</v>
      </c>
      <c r="I79" s="12" t="s">
        <v>993</v>
      </c>
      <c r="J79" s="24"/>
      <c r="K79" s="31" t="s">
        <v>413</v>
      </c>
    </row>
    <row r="80" customFormat="false" ht="30.75" hidden="false" customHeight="true" outlineLevel="0" collapsed="false">
      <c r="A80" s="22" t="s">
        <v>703</v>
      </c>
      <c r="B80" s="10" t="s">
        <v>994</v>
      </c>
      <c r="C80" s="51" t="s">
        <v>962</v>
      </c>
      <c r="D80" s="13" t="s">
        <v>995</v>
      </c>
      <c r="E80" s="45" t="s">
        <v>735</v>
      </c>
      <c r="F80" s="30" t="s">
        <v>409</v>
      </c>
      <c r="G80" s="44" t="s">
        <v>801</v>
      </c>
      <c r="H80" s="12" t="s">
        <v>996</v>
      </c>
      <c r="I80" s="12" t="s">
        <v>997</v>
      </c>
      <c r="J80" s="24"/>
      <c r="K80" s="31" t="s">
        <v>413</v>
      </c>
    </row>
    <row r="81" customFormat="false" ht="57" hidden="false" customHeight="true" outlineLevel="0" collapsed="false">
      <c r="A81" s="22" t="s">
        <v>703</v>
      </c>
      <c r="B81" s="10" t="s">
        <v>998</v>
      </c>
      <c r="C81" s="51" t="s">
        <v>962</v>
      </c>
      <c r="D81" s="13" t="s">
        <v>999</v>
      </c>
      <c r="E81" s="45" t="s">
        <v>735</v>
      </c>
      <c r="F81" s="33" t="s">
        <v>135</v>
      </c>
      <c r="G81" s="44" t="s">
        <v>1000</v>
      </c>
      <c r="H81" s="12" t="s">
        <v>1001</v>
      </c>
      <c r="I81" s="12" t="s">
        <v>1002</v>
      </c>
      <c r="J81" s="24"/>
      <c r="K81" s="31" t="s">
        <v>413</v>
      </c>
    </row>
    <row r="82" customFormat="false" ht="57" hidden="false" customHeight="true" outlineLevel="0" collapsed="false">
      <c r="A82" s="22" t="s">
        <v>703</v>
      </c>
      <c r="B82" s="10" t="s">
        <v>1003</v>
      </c>
      <c r="C82" s="51" t="s">
        <v>962</v>
      </c>
      <c r="D82" s="13" t="s">
        <v>1004</v>
      </c>
      <c r="E82" s="45" t="s">
        <v>735</v>
      </c>
      <c r="F82" s="33" t="s">
        <v>135</v>
      </c>
      <c r="G82" s="44" t="s">
        <v>1005</v>
      </c>
      <c r="H82" s="12" t="s">
        <v>1006</v>
      </c>
      <c r="I82" s="12" t="s">
        <v>1007</v>
      </c>
      <c r="J82" s="24"/>
      <c r="K82" s="31" t="s">
        <v>413</v>
      </c>
    </row>
    <row r="83" customFormat="false" ht="30.75" hidden="false" customHeight="true" outlineLevel="0" collapsed="false">
      <c r="A83" s="22" t="s">
        <v>703</v>
      </c>
      <c r="B83" s="10" t="s">
        <v>1008</v>
      </c>
      <c r="C83" s="51" t="s">
        <v>962</v>
      </c>
      <c r="D83" s="13" t="s">
        <v>1009</v>
      </c>
      <c r="E83" s="45" t="s">
        <v>735</v>
      </c>
      <c r="F83" s="33" t="s">
        <v>135</v>
      </c>
      <c r="G83" s="44" t="s">
        <v>801</v>
      </c>
      <c r="H83" s="12" t="s">
        <v>1010</v>
      </c>
      <c r="I83" s="12" t="s">
        <v>1011</v>
      </c>
      <c r="J83" s="24"/>
      <c r="K83" s="31" t="s">
        <v>413</v>
      </c>
    </row>
    <row r="84" customFormat="false" ht="57" hidden="false" customHeight="true" outlineLevel="0" collapsed="false">
      <c r="A84" s="22" t="s">
        <v>703</v>
      </c>
      <c r="B84" s="10" t="s">
        <v>1012</v>
      </c>
      <c r="C84" s="51" t="s">
        <v>962</v>
      </c>
      <c r="D84" s="13" t="s">
        <v>1013</v>
      </c>
      <c r="E84" s="45" t="s">
        <v>735</v>
      </c>
      <c r="F84" s="33" t="s">
        <v>135</v>
      </c>
      <c r="G84" s="44" t="s">
        <v>1014</v>
      </c>
      <c r="H84" s="12" t="s">
        <v>1015</v>
      </c>
      <c r="I84" s="12" t="s">
        <v>1016</v>
      </c>
      <c r="J84" s="24"/>
      <c r="K84" s="31" t="s">
        <v>413</v>
      </c>
    </row>
    <row r="85" customFormat="false" ht="121.5" hidden="false" customHeight="true" outlineLevel="0" collapsed="false">
      <c r="A85" s="22" t="s">
        <v>703</v>
      </c>
      <c r="B85" s="10" t="s">
        <v>1017</v>
      </c>
      <c r="C85" s="51" t="s">
        <v>962</v>
      </c>
      <c r="D85" s="13" t="s">
        <v>1018</v>
      </c>
      <c r="E85" s="45" t="s">
        <v>735</v>
      </c>
      <c r="F85" s="33" t="s">
        <v>135</v>
      </c>
      <c r="G85" s="44" t="s">
        <v>1019</v>
      </c>
      <c r="H85" s="12" t="s">
        <v>1020</v>
      </c>
      <c r="I85" s="12" t="s">
        <v>1021</v>
      </c>
      <c r="J85" s="24"/>
      <c r="K85" s="31" t="s">
        <v>413</v>
      </c>
    </row>
    <row r="86" customFormat="false" ht="18" hidden="false" customHeight="true" outlineLevel="0" collapsed="false">
      <c r="A86" s="22" t="s">
        <v>703</v>
      </c>
      <c r="B86" s="24"/>
      <c r="C86" s="24"/>
      <c r="D86" s="24"/>
      <c r="E86" s="24"/>
      <c r="F86" s="24"/>
      <c r="G86" s="12"/>
      <c r="H86" s="24"/>
      <c r="I86" s="24"/>
      <c r="J86" s="24"/>
      <c r="K86" s="24"/>
    </row>
    <row r="87" customFormat="false" ht="18" hidden="false" customHeight="true" outlineLevel="0" collapsed="false">
      <c r="A87" s="22" t="s">
        <v>703</v>
      </c>
      <c r="B87" s="24"/>
      <c r="C87" s="24"/>
      <c r="D87" s="24"/>
      <c r="E87" s="24"/>
      <c r="F87" s="24"/>
      <c r="G87" s="12"/>
      <c r="H87" s="24"/>
      <c r="I87" s="24"/>
      <c r="J87" s="24"/>
      <c r="K87" s="24"/>
    </row>
    <row r="88" customFormat="false" ht="18" hidden="false" customHeight="true" outlineLevel="0" collapsed="false">
      <c r="A88" s="22" t="s">
        <v>703</v>
      </c>
      <c r="B88" s="24"/>
      <c r="C88" s="24"/>
      <c r="D88" s="24"/>
      <c r="E88" s="24"/>
      <c r="F88" s="24"/>
      <c r="G88" s="12"/>
      <c r="H88" s="24"/>
      <c r="I88" s="24"/>
      <c r="J88" s="24"/>
      <c r="K88" s="24"/>
    </row>
    <row r="89" customFormat="false" ht="18" hidden="false" customHeight="true" outlineLevel="0" collapsed="false">
      <c r="A89" s="19" t="s">
        <v>1022</v>
      </c>
      <c r="B89" s="19"/>
      <c r="C89" s="19"/>
      <c r="D89" s="19"/>
      <c r="E89" s="19"/>
      <c r="F89" s="19"/>
      <c r="G89" s="19"/>
      <c r="H89" s="19"/>
      <c r="I89" s="19"/>
      <c r="J89" s="19"/>
      <c r="K89" s="19"/>
    </row>
  </sheetData>
  <autoFilter ref="A20:K88"/>
  <mergeCells count="32">
    <mergeCell ref="A1:K1"/>
    <mergeCell ref="A3:K3"/>
    <mergeCell ref="B5:K5"/>
    <mergeCell ref="B6:K6"/>
    <mergeCell ref="A8:K8"/>
    <mergeCell ref="A9:B9"/>
    <mergeCell ref="C9:G9"/>
    <mergeCell ref="H9:J9"/>
    <mergeCell ref="A10:B10"/>
    <mergeCell ref="C10:G10"/>
    <mergeCell ref="H10:J10"/>
    <mergeCell ref="A11:B11"/>
    <mergeCell ref="C11:G11"/>
    <mergeCell ref="H11:J11"/>
    <mergeCell ref="A12:B12"/>
    <mergeCell ref="C12:G12"/>
    <mergeCell ref="H12:J12"/>
    <mergeCell ref="A13:B13"/>
    <mergeCell ref="C13:G13"/>
    <mergeCell ref="H13:J13"/>
    <mergeCell ref="A14:B14"/>
    <mergeCell ref="C14:G14"/>
    <mergeCell ref="H14:J14"/>
    <mergeCell ref="A15:B15"/>
    <mergeCell ref="C15:G15"/>
    <mergeCell ref="H15:J15"/>
    <mergeCell ref="A16:B16"/>
    <mergeCell ref="C16:G16"/>
    <mergeCell ref="H16:J16"/>
    <mergeCell ref="A18:K18"/>
    <mergeCell ref="A19:K19"/>
    <mergeCell ref="A89:K89"/>
  </mergeCells>
  <dataValidations count="3">
    <dataValidation allowBlank="true" error="Pick one of the listed values" errorStyle="stop" errorTitle="Pick from the list" operator="between" showDropDown="false" showErrorMessage="true" showInputMessage="false" sqref="E21:E88" type="list">
      <formula1>"Every tool,Vendor products,By function"</formula1>
      <formula2>0</formula2>
    </dataValidation>
    <dataValidation allowBlank="true" error="Pick one of the listed values" errorStyle="stop" errorTitle="Pick from the list" operator="between" showDropDown="false" showErrorMessage="true" showInputMessage="false" sqref="F21:F88" type="list">
      <formula1>"Yes,No"</formula1>
      <formula2>0</formula2>
    </dataValidation>
    <dataValidation allowBlank="true" error="Pick one of the listed values" errorStyle="stop" errorTitle="Pick from the list" operator="between" showDropDown="false" showErrorMessage="true" showInputMessage="false" sqref="K21:K88" type="list">
      <formula1>"On,Off"</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6"/>
    <col collapsed="false" customWidth="true" hidden="false" outlineLevel="0" max="3" min="3" style="0" width="44"/>
    <col collapsed="false" customWidth="true" hidden="false" outlineLevel="0" max="4" min="4" style="0" width="66"/>
  </cols>
  <sheetData>
    <row r="1" customFormat="false" ht="27.75" hidden="false" customHeight="true" outlineLevel="0" collapsed="false">
      <c r="A1" s="1" t="s">
        <v>1023</v>
      </c>
      <c r="B1" s="1"/>
      <c r="C1" s="1"/>
      <c r="D1" s="1"/>
    </row>
    <row r="2" customFormat="false" ht="18" hidden="false" customHeight="true" outlineLevel="0" collapsed="false"/>
    <row r="3" customFormat="false" ht="43.5" hidden="false" customHeight="true" outlineLevel="0" collapsed="false">
      <c r="A3" s="2" t="s">
        <v>1024</v>
      </c>
      <c r="B3" s="2"/>
      <c r="C3" s="2"/>
      <c r="D3" s="2"/>
    </row>
    <row r="4" customFormat="false" ht="18" hidden="false" customHeight="true" outlineLevel="0" collapsed="false"/>
    <row r="5" customFormat="false" ht="18" hidden="false" customHeight="true" outlineLevel="0" collapsed="false">
      <c r="A5" s="3" t="s">
        <v>2</v>
      </c>
      <c r="B5" s="4" t="s">
        <v>1025</v>
      </c>
      <c r="C5" s="4"/>
      <c r="D5" s="4"/>
    </row>
    <row r="6" customFormat="false" ht="18" hidden="false" customHeight="true" outlineLevel="0" collapsed="false">
      <c r="A6" s="5" t="s">
        <v>4</v>
      </c>
      <c r="B6" s="4" t="s">
        <v>1026</v>
      </c>
      <c r="C6" s="4"/>
      <c r="D6" s="4"/>
    </row>
    <row r="7" customFormat="false" ht="18" hidden="false" customHeight="true" outlineLevel="0" collapsed="false"/>
    <row r="8" customFormat="false" ht="21.75" hidden="false" customHeight="true" outlineLevel="0" collapsed="false">
      <c r="A8" s="8" t="s">
        <v>1027</v>
      </c>
      <c r="B8" s="8"/>
      <c r="C8" s="8"/>
      <c r="D8" s="8"/>
    </row>
    <row r="9" customFormat="false" ht="18" hidden="false" customHeight="true" outlineLevel="0" collapsed="false">
      <c r="A9" s="2" t="s">
        <v>1028</v>
      </c>
      <c r="B9" s="2"/>
      <c r="C9" s="2"/>
      <c r="D9" s="2"/>
    </row>
    <row r="10" customFormat="false" ht="18" hidden="false" customHeight="true" outlineLevel="0" collapsed="false">
      <c r="A10" s="21" t="s">
        <v>81</v>
      </c>
      <c r="B10" s="9" t="s">
        <v>82</v>
      </c>
      <c r="C10" s="9" t="s">
        <v>83</v>
      </c>
      <c r="D10" s="9" t="s">
        <v>84</v>
      </c>
    </row>
    <row r="11" customFormat="false" ht="18" hidden="false" customHeight="true" outlineLevel="0" collapsed="false">
      <c r="A11" s="22" t="s">
        <v>1029</v>
      </c>
      <c r="B11" s="12" t="s">
        <v>1030</v>
      </c>
      <c r="C11" s="23"/>
      <c r="D11" s="12" t="s">
        <v>1031</v>
      </c>
    </row>
    <row r="12" customFormat="false" ht="43.5" hidden="false" customHeight="true" outlineLevel="0" collapsed="false">
      <c r="A12" s="22" t="s">
        <v>1032</v>
      </c>
      <c r="B12" s="12" t="s">
        <v>1033</v>
      </c>
      <c r="C12" s="23"/>
      <c r="D12" s="12" t="s">
        <v>1034</v>
      </c>
    </row>
    <row r="13" customFormat="false" ht="18" hidden="false" customHeight="true" outlineLevel="0" collapsed="false">
      <c r="A13" s="22" t="s">
        <v>1035</v>
      </c>
      <c r="B13" s="12" t="s">
        <v>1036</v>
      </c>
      <c r="C13" s="23"/>
      <c r="D13" s="12" t="s">
        <v>1037</v>
      </c>
    </row>
    <row r="14" customFormat="false" ht="18" hidden="false" customHeight="true" outlineLevel="0" collapsed="false">
      <c r="A14" s="22" t="s">
        <v>1038</v>
      </c>
      <c r="B14" s="12" t="s">
        <v>1039</v>
      </c>
      <c r="C14" s="23"/>
      <c r="D14" s="12" t="s">
        <v>1040</v>
      </c>
    </row>
    <row r="15" customFormat="false" ht="18" hidden="false" customHeight="true" outlineLevel="0" collapsed="false">
      <c r="A15" s="22" t="s">
        <v>1041</v>
      </c>
      <c r="B15" s="12" t="s">
        <v>1042</v>
      </c>
      <c r="C15" s="23"/>
      <c r="D15" s="12"/>
    </row>
    <row r="16" customFormat="false" ht="18" hidden="false" customHeight="true" outlineLevel="0" collapsed="false">
      <c r="A16" s="22" t="s">
        <v>1043</v>
      </c>
      <c r="B16" s="12" t="s">
        <v>1044</v>
      </c>
      <c r="C16" s="23"/>
      <c r="D16" s="12" t="s">
        <v>1045</v>
      </c>
    </row>
    <row r="17" customFormat="false" ht="18" hidden="false" customHeight="true" outlineLevel="0" collapsed="false">
      <c r="A17" s="22" t="s">
        <v>1046</v>
      </c>
      <c r="B17" s="12" t="s">
        <v>1047</v>
      </c>
      <c r="C17" s="23"/>
      <c r="D17" s="12"/>
    </row>
    <row r="18" customFormat="false" ht="18" hidden="false" customHeight="true" outlineLevel="0" collapsed="false">
      <c r="A18" s="22" t="s">
        <v>1048</v>
      </c>
      <c r="B18" s="12" t="s">
        <v>1049</v>
      </c>
      <c r="C18" s="23"/>
      <c r="D18" s="12" t="s">
        <v>1050</v>
      </c>
    </row>
    <row r="19" customFormat="false" ht="18" hidden="false" customHeight="true" outlineLevel="0" collapsed="false"/>
    <row r="20" customFormat="false" ht="21.75" hidden="false" customHeight="true" outlineLevel="0" collapsed="false">
      <c r="A20" s="8" t="s">
        <v>1051</v>
      </c>
      <c r="B20" s="8"/>
      <c r="C20" s="8"/>
      <c r="D20" s="8"/>
    </row>
    <row r="21" customFormat="false" ht="18" hidden="false" customHeight="true" outlineLevel="0" collapsed="false">
      <c r="A21" s="2" t="s">
        <v>1052</v>
      </c>
      <c r="B21" s="2"/>
      <c r="C21" s="2"/>
      <c r="D21" s="2"/>
    </row>
    <row r="22" customFormat="false" ht="18" hidden="false" customHeight="true" outlineLevel="0" collapsed="false">
      <c r="A22" s="21" t="s">
        <v>81</v>
      </c>
      <c r="B22" s="9" t="s">
        <v>82</v>
      </c>
      <c r="C22" s="9" t="s">
        <v>83</v>
      </c>
      <c r="D22" s="9" t="s">
        <v>84</v>
      </c>
    </row>
    <row r="23" customFormat="false" ht="18" hidden="false" customHeight="true" outlineLevel="0" collapsed="false">
      <c r="A23" s="22" t="s">
        <v>1053</v>
      </c>
      <c r="B23" s="12" t="s">
        <v>1054</v>
      </c>
      <c r="C23" s="23"/>
      <c r="D23" s="12" t="s">
        <v>1055</v>
      </c>
    </row>
    <row r="24" customFormat="false" ht="18" hidden="false" customHeight="true" outlineLevel="0" collapsed="false">
      <c r="A24" s="22" t="s">
        <v>1056</v>
      </c>
      <c r="B24" s="12" t="s">
        <v>1057</v>
      </c>
      <c r="C24" s="23"/>
      <c r="D24" s="12"/>
    </row>
    <row r="25" customFormat="false" ht="18" hidden="false" customHeight="true" outlineLevel="0" collapsed="false">
      <c r="A25" s="22" t="s">
        <v>1058</v>
      </c>
      <c r="B25" s="12" t="s">
        <v>1059</v>
      </c>
      <c r="C25" s="23"/>
      <c r="D25" s="12"/>
    </row>
    <row r="26" customFormat="false" ht="43.5" hidden="false" customHeight="true" outlineLevel="0" collapsed="false">
      <c r="A26" s="22" t="s">
        <v>1060</v>
      </c>
      <c r="B26" s="12" t="s">
        <v>1061</v>
      </c>
      <c r="C26" s="23"/>
      <c r="D26" s="12" t="s">
        <v>1062</v>
      </c>
    </row>
    <row r="27" customFormat="false" ht="18" hidden="false" customHeight="true" outlineLevel="0" collapsed="false">
      <c r="A27" s="22" t="s">
        <v>1063</v>
      </c>
      <c r="B27" s="12" t="s">
        <v>1064</v>
      </c>
      <c r="C27" s="23"/>
      <c r="D27" s="12" t="s">
        <v>1065</v>
      </c>
    </row>
    <row r="28" customFormat="false" ht="30.75" hidden="false" customHeight="true" outlineLevel="0" collapsed="false">
      <c r="A28" s="22" t="s">
        <v>1066</v>
      </c>
      <c r="B28" s="12" t="s">
        <v>1067</v>
      </c>
      <c r="C28" s="23"/>
      <c r="D28" s="12" t="s">
        <v>1068</v>
      </c>
    </row>
    <row r="29" customFormat="false" ht="18" hidden="false" customHeight="true" outlineLevel="0" collapsed="false">
      <c r="A29" s="22" t="s">
        <v>1069</v>
      </c>
      <c r="B29" s="12" t="s">
        <v>1070</v>
      </c>
      <c r="C29" s="23"/>
      <c r="D29" s="12" t="s">
        <v>1071</v>
      </c>
    </row>
    <row r="30" customFormat="false" ht="18" hidden="false" customHeight="true" outlineLevel="0" collapsed="false">
      <c r="A30" s="22" t="s">
        <v>1072</v>
      </c>
      <c r="B30" s="12" t="s">
        <v>1073</v>
      </c>
      <c r="C30" s="23"/>
      <c r="D30" s="12" t="s">
        <v>1074</v>
      </c>
    </row>
    <row r="31" customFormat="false" ht="18" hidden="false" customHeight="true" outlineLevel="0" collapsed="false">
      <c r="A31" s="22" t="s">
        <v>1075</v>
      </c>
      <c r="B31" s="12" t="s">
        <v>1076</v>
      </c>
      <c r="C31" s="23"/>
      <c r="D31" s="12"/>
    </row>
    <row r="32" customFormat="false" ht="30.75" hidden="false" customHeight="true" outlineLevel="0" collapsed="false">
      <c r="A32" s="22" t="s">
        <v>1077</v>
      </c>
      <c r="B32" s="12" t="s">
        <v>1078</v>
      </c>
      <c r="C32" s="23"/>
      <c r="D32" s="12"/>
    </row>
    <row r="33" customFormat="false" ht="30.75" hidden="false" customHeight="true" outlineLevel="0" collapsed="false">
      <c r="A33" s="22" t="s">
        <v>1079</v>
      </c>
      <c r="B33" s="12" t="s">
        <v>1080</v>
      </c>
      <c r="C33" s="23"/>
      <c r="D33" s="12"/>
    </row>
    <row r="34" customFormat="false" ht="18" hidden="false" customHeight="true" outlineLevel="0" collapsed="false">
      <c r="A34" s="22" t="s">
        <v>1081</v>
      </c>
      <c r="B34" s="12" t="s">
        <v>1082</v>
      </c>
      <c r="C34" s="23"/>
      <c r="D34" s="12"/>
    </row>
    <row r="35" customFormat="false" ht="18" hidden="false" customHeight="true" outlineLevel="0" collapsed="false">
      <c r="A35" s="22" t="s">
        <v>1083</v>
      </c>
      <c r="B35" s="12" t="s">
        <v>1084</v>
      </c>
      <c r="C35" s="23"/>
      <c r="D35" s="12"/>
    </row>
    <row r="36" customFormat="false" ht="18" hidden="false" customHeight="true" outlineLevel="0" collapsed="false">
      <c r="A36" s="22" t="s">
        <v>1085</v>
      </c>
      <c r="B36" s="12" t="s">
        <v>1086</v>
      </c>
      <c r="C36" s="23"/>
      <c r="D36" s="12"/>
    </row>
    <row r="37" customFormat="false" ht="18" hidden="false" customHeight="true" outlineLevel="0" collapsed="false">
      <c r="A37" s="22" t="s">
        <v>1087</v>
      </c>
      <c r="B37" s="12" t="s">
        <v>1088</v>
      </c>
      <c r="C37" s="23"/>
      <c r="D37" s="12"/>
    </row>
    <row r="38" customFormat="false" ht="18" hidden="false" customHeight="true" outlineLevel="0" collapsed="false">
      <c r="A38" s="22" t="s">
        <v>1089</v>
      </c>
      <c r="B38" s="12" t="s">
        <v>1090</v>
      </c>
      <c r="C38" s="23"/>
      <c r="D38" s="12"/>
    </row>
    <row r="39" customFormat="false" ht="18" hidden="false" customHeight="true" outlineLevel="0" collapsed="false"/>
    <row r="40" customFormat="false" ht="21.75" hidden="false" customHeight="true" outlineLevel="0" collapsed="false">
      <c r="A40" s="8" t="s">
        <v>1091</v>
      </c>
      <c r="B40" s="8"/>
      <c r="C40" s="8"/>
      <c r="D40" s="8"/>
    </row>
    <row r="41" customFormat="false" ht="18" hidden="false" customHeight="true" outlineLevel="0" collapsed="false">
      <c r="A41" s="2" t="s">
        <v>1092</v>
      </c>
      <c r="B41" s="2"/>
      <c r="C41" s="2"/>
      <c r="D41" s="2"/>
    </row>
    <row r="42" customFormat="false" ht="18" hidden="false" customHeight="true" outlineLevel="0" collapsed="false">
      <c r="A42" s="21" t="s">
        <v>81</v>
      </c>
      <c r="B42" s="9" t="s">
        <v>82</v>
      </c>
      <c r="C42" s="9" t="s">
        <v>83</v>
      </c>
      <c r="D42" s="9" t="s">
        <v>84</v>
      </c>
    </row>
    <row r="43" customFormat="false" ht="30.75" hidden="false" customHeight="true" outlineLevel="0" collapsed="false">
      <c r="A43" s="22" t="s">
        <v>1093</v>
      </c>
      <c r="B43" s="12" t="s">
        <v>1094</v>
      </c>
      <c r="C43" s="23"/>
      <c r="D43" s="12" t="s">
        <v>1095</v>
      </c>
    </row>
    <row r="44" customFormat="false" ht="18" hidden="false" customHeight="true" outlineLevel="0" collapsed="false">
      <c r="A44" s="22" t="s">
        <v>1096</v>
      </c>
      <c r="B44" s="12" t="s">
        <v>1097</v>
      </c>
      <c r="C44" s="23"/>
      <c r="D44" s="12"/>
    </row>
    <row r="45" customFormat="false" ht="18" hidden="false" customHeight="true" outlineLevel="0" collapsed="false">
      <c r="A45" s="22" t="s">
        <v>1098</v>
      </c>
      <c r="B45" s="12" t="s">
        <v>1099</v>
      </c>
      <c r="C45" s="23"/>
      <c r="D45" s="12"/>
    </row>
    <row r="46" customFormat="false" ht="18" hidden="false" customHeight="true" outlineLevel="0" collapsed="false">
      <c r="A46" s="22" t="s">
        <v>1100</v>
      </c>
      <c r="B46" s="12" t="s">
        <v>1101</v>
      </c>
      <c r="C46" s="23"/>
      <c r="D46" s="12" t="s">
        <v>1102</v>
      </c>
    </row>
    <row r="47" customFormat="false" ht="30.75" hidden="false" customHeight="true" outlineLevel="0" collapsed="false">
      <c r="A47" s="22" t="s">
        <v>1103</v>
      </c>
      <c r="B47" s="12" t="s">
        <v>1104</v>
      </c>
      <c r="C47" s="23"/>
      <c r="D47" s="12" t="s">
        <v>1105</v>
      </c>
    </row>
    <row r="48" customFormat="false" ht="18" hidden="false" customHeight="true" outlineLevel="0" collapsed="false">
      <c r="A48" s="22" t="s">
        <v>1106</v>
      </c>
      <c r="B48" s="12" t="s">
        <v>1107</v>
      </c>
      <c r="C48" s="23"/>
      <c r="D48" s="12" t="s">
        <v>1108</v>
      </c>
    </row>
    <row r="49" customFormat="false" ht="18" hidden="false" customHeight="true" outlineLevel="0" collapsed="false">
      <c r="A49" s="22" t="s">
        <v>1109</v>
      </c>
      <c r="B49" s="12" t="s">
        <v>1110</v>
      </c>
      <c r="C49" s="23"/>
      <c r="D49" s="12" t="s">
        <v>1111</v>
      </c>
    </row>
    <row r="50" customFormat="false" ht="18" hidden="false" customHeight="true" outlineLevel="0" collapsed="false">
      <c r="A50" s="22" t="s">
        <v>1112</v>
      </c>
      <c r="B50" s="12" t="s">
        <v>1113</v>
      </c>
      <c r="C50" s="23"/>
      <c r="D50" s="12" t="s">
        <v>1114</v>
      </c>
    </row>
    <row r="51" customFormat="false" ht="30.75" hidden="false" customHeight="true" outlineLevel="0" collapsed="false">
      <c r="A51" s="22" t="s">
        <v>1115</v>
      </c>
      <c r="B51" s="12" t="s">
        <v>1116</v>
      </c>
      <c r="C51" s="23"/>
      <c r="D51" s="12"/>
    </row>
    <row r="52" customFormat="false" ht="30.75" hidden="false" customHeight="true" outlineLevel="0" collapsed="false">
      <c r="A52" s="22" t="s">
        <v>1117</v>
      </c>
      <c r="B52" s="12" t="s">
        <v>1118</v>
      </c>
      <c r="C52" s="23"/>
      <c r="D52" s="12" t="s">
        <v>1119</v>
      </c>
    </row>
    <row r="53" customFormat="false" ht="18" hidden="false" customHeight="true" outlineLevel="0" collapsed="false"/>
    <row r="54" customFormat="false" ht="21.75" hidden="false" customHeight="true" outlineLevel="0" collapsed="false">
      <c r="A54" s="8" t="s">
        <v>1120</v>
      </c>
      <c r="B54" s="8"/>
      <c r="C54" s="8"/>
      <c r="D54" s="8"/>
    </row>
    <row r="55" customFormat="false" ht="18" hidden="false" customHeight="true" outlineLevel="0" collapsed="false">
      <c r="A55" s="2" t="s">
        <v>1121</v>
      </c>
      <c r="B55" s="2"/>
      <c r="C55" s="2"/>
      <c r="D55" s="2"/>
    </row>
    <row r="56" customFormat="false" ht="18" hidden="false" customHeight="true" outlineLevel="0" collapsed="false">
      <c r="A56" s="21" t="s">
        <v>81</v>
      </c>
      <c r="B56" s="9" t="s">
        <v>82</v>
      </c>
      <c r="C56" s="9" t="s">
        <v>83</v>
      </c>
      <c r="D56" s="9" t="s">
        <v>84</v>
      </c>
    </row>
    <row r="57" customFormat="false" ht="18" hidden="false" customHeight="true" outlineLevel="0" collapsed="false">
      <c r="A57" s="22" t="s">
        <v>1122</v>
      </c>
      <c r="B57" s="12" t="s">
        <v>1123</v>
      </c>
      <c r="C57" s="23"/>
      <c r="D57" s="12"/>
    </row>
    <row r="58" customFormat="false" ht="18" hidden="false" customHeight="true" outlineLevel="0" collapsed="false">
      <c r="A58" s="22" t="s">
        <v>1124</v>
      </c>
      <c r="B58" s="12" t="s">
        <v>1125</v>
      </c>
      <c r="C58" s="23"/>
      <c r="D58" s="12" t="s">
        <v>1126</v>
      </c>
    </row>
    <row r="59" customFormat="false" ht="18" hidden="false" customHeight="true" outlineLevel="0" collapsed="false">
      <c r="A59" s="22" t="s">
        <v>1127</v>
      </c>
      <c r="B59" s="12" t="s">
        <v>1128</v>
      </c>
      <c r="C59" s="23"/>
      <c r="D59" s="12"/>
    </row>
    <row r="60" customFormat="false" ht="18" hidden="false" customHeight="true" outlineLevel="0" collapsed="false">
      <c r="A60" s="22" t="s">
        <v>1129</v>
      </c>
      <c r="B60" s="12" t="s">
        <v>1130</v>
      </c>
      <c r="C60" s="23"/>
      <c r="D60" s="12" t="s">
        <v>1131</v>
      </c>
    </row>
    <row r="61" customFormat="false" ht="30.75" hidden="false" customHeight="true" outlineLevel="0" collapsed="false">
      <c r="A61" s="22" t="s">
        <v>1132</v>
      </c>
      <c r="B61" s="12" t="s">
        <v>1133</v>
      </c>
      <c r="C61" s="23"/>
      <c r="D61" s="12" t="s">
        <v>1134</v>
      </c>
    </row>
    <row r="62" customFormat="false" ht="18" hidden="false" customHeight="true" outlineLevel="0" collapsed="false">
      <c r="A62" s="22" t="s">
        <v>1135</v>
      </c>
      <c r="B62" s="12" t="s">
        <v>1136</v>
      </c>
      <c r="C62" s="23"/>
      <c r="D62" s="12"/>
    </row>
    <row r="63" customFormat="false" ht="18" hidden="false" customHeight="true" outlineLevel="0" collapsed="false">
      <c r="A63" s="22" t="s">
        <v>1137</v>
      </c>
      <c r="B63" s="12" t="s">
        <v>1138</v>
      </c>
      <c r="C63" s="23"/>
      <c r="D63" s="12"/>
    </row>
    <row r="64" customFormat="false" ht="18" hidden="false" customHeight="true" outlineLevel="0" collapsed="false">
      <c r="A64" s="22" t="s">
        <v>1139</v>
      </c>
      <c r="B64" s="12" t="s">
        <v>1140</v>
      </c>
      <c r="C64" s="23"/>
      <c r="D64" s="12"/>
    </row>
    <row r="65" customFormat="false" ht="18" hidden="false" customHeight="true" outlineLevel="0" collapsed="false">
      <c r="A65" s="22" t="s">
        <v>1141</v>
      </c>
      <c r="B65" s="12" t="s">
        <v>1142</v>
      </c>
      <c r="C65" s="23"/>
      <c r="D65" s="12"/>
    </row>
    <row r="66" customFormat="false" ht="18" hidden="false" customHeight="true" outlineLevel="0" collapsed="false">
      <c r="A66" s="22" t="s">
        <v>1143</v>
      </c>
      <c r="B66" s="12" t="s">
        <v>1144</v>
      </c>
      <c r="C66" s="23"/>
      <c r="D66" s="12" t="s">
        <v>1145</v>
      </c>
    </row>
    <row r="67" customFormat="false" ht="18" hidden="false" customHeight="true" outlineLevel="0" collapsed="false">
      <c r="A67" s="22" t="s">
        <v>1146</v>
      </c>
      <c r="B67" s="12" t="s">
        <v>1147</v>
      </c>
      <c r="C67" s="23"/>
      <c r="D67" s="12"/>
    </row>
  </sheetData>
  <mergeCells count="12">
    <mergeCell ref="A1:D1"/>
    <mergeCell ref="A3:D3"/>
    <mergeCell ref="B5:D5"/>
    <mergeCell ref="B6:D6"/>
    <mergeCell ref="A8:D8"/>
    <mergeCell ref="A9:D9"/>
    <mergeCell ref="A20:D20"/>
    <mergeCell ref="A21:D21"/>
    <mergeCell ref="A40:D40"/>
    <mergeCell ref="A41:D41"/>
    <mergeCell ref="A54:D54"/>
    <mergeCell ref="A55:D55"/>
  </mergeCells>
  <dataValidations count="23">
    <dataValidation allowBlank="true" error="Pick one of the listed values" errorStyle="stop" errorTitle="Pick from the list" operator="between" showDropDown="false" showErrorMessage="true" showInputMessage="false" sqref="C12" type="list">
      <formula1>"Buying a new AI product or service,An existing vendor adding AI to a product we already use,Something we are building ourselves"</formula1>
      <formula2>0</formula2>
    </dataValidation>
    <dataValidation allowBlank="true" error="Pick one of the listed values" errorStyle="stop" errorTitle="Pick from the list" operator="between" showDropDown="false" showErrorMessage="true" showInputMessage="false" sqref="C17" type="list">
      <formula1>"New purchase,Pilot,Already in use,In development,Renewal"</formula1>
      <formula2>0</formula2>
    </dataValidation>
    <dataValidation allowBlank="true" error="Pick one of the listed values" errorStyle="stop" errorTitle="Pick from the list" operator="between" showDropDown="false" showErrorMessage="true" showInputMessage="false" sqref="C24" type="list">
      <formula1>"1 to 10,11 to 50,51 to 250,More than 250,Non-human only (agents)"</formula1>
      <formula2>0</formula2>
    </dataValidation>
    <dataValidation allowBlank="true" error="Pick one of the listed values" errorStyle="stop" errorTitle="Pick from the list" operator="between" showDropDown="false" showErrorMessage="true" showInputMessage="false" sqref="C25" type="list">
      <formula1>Lists!$C$2:$C$4</formula1>
      <formula2>0</formula2>
    </dataValidation>
    <dataValidation allowBlank="true" error="Pick one of the listed values" errorStyle="stop" errorTitle="Pick from the list" operator="between" showDropDown="false" showErrorMessage="true" showInputMessage="false" sqref="C26" type="list">
      <formula1>"Public,Internal,Confidential,Restricted,Not sure"</formula1>
      <formula2>0</formula2>
    </dataValidation>
    <dataValidation allowBlank="true" error="Pick one of the listed values" errorStyle="stop" errorTitle="Pick from the list" operator="between" showDropDown="false" showErrorMessage="true" showInputMessage="false" sqref="C28 C31:C34 C37" type="list">
      <formula1>"Yes,No,Not sure"</formula1>
      <formula2>0</formula2>
    </dataValidation>
    <dataValidation allowBlank="true" error="Pick one of the listed values" errorStyle="stop" errorTitle="Pick from the list" operator="between" showDropDown="false" showErrorMessage="true" showInputMessage="false" sqref="C29" type="list">
      <formula1>Lists!$D$2:$D$6</formula1>
      <formula2>0</formula2>
    </dataValidation>
    <dataValidation allowBlank="true" error="Pick one of the listed values" errorStyle="stop" errorTitle="Pick from the list" operator="between" showDropDown="false" showErrorMessage="true" showInputMessage="false" sqref="C30" type="list">
      <formula1>Lists!$E$2:$E$6</formula1>
      <formula2>0</formula2>
    </dataValidation>
    <dataValidation allowBlank="true" error="Pick one of the listed values" errorStyle="stop" errorTitle="Pick from the list" operator="between" showDropDown="false" showErrorMessage="true" showInputMessage="false" sqref="C35" type="list">
      <formula1>"None,Per user,Shared across users,Not sure"</formula1>
      <formula2>0</formula2>
    </dataValidation>
    <dataValidation allowBlank="true" error="Pick one of the listed values" errorStyle="stop" errorTitle="Pick from the list" operator="between" showDropDown="false" showErrorMessage="true" showInputMessage="false" sqref="C36" type="list">
      <formula1>"None,Vendor-signed only,Community or open source,Custom-built,Mixed,Not sure"</formula1>
      <formula2>0</formula2>
    </dataValidation>
    <dataValidation allowBlank="true" error="Pick one of the listed values" errorStyle="stop" errorTitle="Pick from the list" operator="between" showDropDown="false" showErrorMessage="true" showInputMessage="false" sqref="C38" type="list">
      <formula1>Lists!$F$2:$F$6</formula1>
      <formula2>0</formula2>
    </dataValidation>
    <dataValidation allowBlank="true" error="Pick one of the listed values" errorStyle="stop" errorTitle="Pick from the list" operator="between" showDropDown="false" showErrorMessage="true" showInputMessage="false" sqref="C43" type="list">
      <formula1>"Free or open source,Individual or Pro,Team or Business,Enterprise,Custom or negotiated,Not sure"</formula1>
      <formula2>0</formula2>
    </dataValidation>
    <dataValidation allowBlank="true" error="Pick one of the listed values" errorStyle="stop" errorTitle="Pick from the list" operator="between" showDropDown="false" showErrorMessage="true" showInputMessage="false" sqref="C44" type="list">
      <formula1>"Vendor-hosted SaaS,In our cloud account,Self-hosted on our infrastructure,Hybrid,Not sure"</formula1>
      <formula2>0</formula2>
    </dataValidation>
    <dataValidation allowBlank="true" error="Pick one of the listed values" errorStyle="stop" errorTitle="Pick from the list" operator="between" showDropDown="false" showErrorMessage="true" showInputMessage="false" sqref="C45" type="list">
      <formula1>"US only,EU only,US and EU,Global or other,Configurable,Not sure"</formula1>
      <formula2>0</formula2>
    </dataValidation>
    <dataValidation allowBlank="true" error="Pick one of the listed values" errorStyle="stop" errorTitle="Pick from the list" operator="between" showDropDown="false" showErrorMessage="true" showInputMessage="false" sqref="C47:C49" type="list">
      <formula1>"Attached,Held but not attached,Listed but must be requested,Not sure,Not applicable"</formula1>
      <formula2>0</formula2>
    </dataValidation>
    <dataValidation allowBlank="true" error="Pick one of the listed values" errorStyle="stop" errorTitle="Pick from the list" operator="between" showDropDown="false" showErrorMessage="true" showInputMessage="false" sqref="C50" type="list">
      <formula1>Lists!$G$2:$G$6</formula1>
      <formula2>0</formula2>
    </dataValidation>
    <dataValidation allowBlank="true" error="Pick one of the listed values" errorStyle="stop" errorTitle="Pick from the list" operator="between" showDropDown="false" showErrorMessage="true" showInputMessage="false" sqref="C51" type="list">
      <formula1>Lists!$H$2:$H$6</formula1>
      <formula2>0</formula2>
    </dataValidation>
    <dataValidation allowBlank="true" error="Pick one of the listed values" errorStyle="stop" errorTitle="Pick from the list" operator="between" showDropDown="false" showErrorMessage="true" showInputMessage="false" sqref="C57" type="list">
      <formula1>"Through our cloud account or AI gateway,Direct to a provider API,Self-hosted open model,Not sure"</formula1>
      <formula2>0</formula2>
    </dataValidation>
    <dataValidation allowBlank="true" error="Pick one of the listed values" errorStyle="stop" errorTitle="Pick from the list" operator="between" showDropDown="false" showErrorMessage="true" showInputMessage="false" sqref="C59" type="list">
      <formula1>"Our cloud account,On-premises,A vendor platform,Not sure"</formula1>
      <formula2>0</formula2>
    </dataValidation>
    <dataValidation allowBlank="true" error="Pick one of the listed values" errorStyle="stop" errorTitle="Pick from the list" operator="between" showDropDown="false" showErrorMessage="true" showInputMessage="false" sqref="C62" type="list">
      <formula1>"The user's own token,A shared service account,An agent identity of its own,Not decided"</formula1>
      <formula2>0</formula2>
    </dataValidation>
    <dataValidation allowBlank="true" error="Pick one of the listed values" errorStyle="stop" errorTitle="Pick from the list" operator="between" showDropDown="false" showErrorMessage="true" showInputMessage="false" sqref="C63" type="list">
      <formula1>Lists!$I$2:$I$5</formula1>
      <formula2>0</formula2>
    </dataValidation>
    <dataValidation allowBlank="true" error="Pick one of the listed values" errorStyle="stop" errorTitle="Pick from the list" operator="between" showDropDown="false" showErrorMessage="true" showInputMessage="false" sqref="C64" type="list">
      <formula1>Lists!$J$2:$J$5</formula1>
      <formula2>0</formula2>
    </dataValidation>
    <dataValidation allowBlank="true" error="Pick one of the listed values" errorStyle="stop" errorTitle="Pick from the list" operator="between" showDropDown="false" showErrorMessage="true" showInputMessage="false" sqref="C65" type="list">
      <formula1>"None yet,Functional tests only,Evaluation against the use case,Red team or adversarial testing,Both evaluation and red team"</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6" topLeftCell="C17" activePane="bottomRight" state="frozen"/>
      <selection pane="topLeft" activeCell="A1" activeCellId="0" sqref="A1"/>
      <selection pane="topRight" activeCell="C1" activeCellId="0" sqref="C1"/>
      <selection pane="bottomLeft" activeCell="A17" activeCellId="0" sqref="A1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18"/>
    <col collapsed="false" customWidth="true" hidden="false" outlineLevel="0" max="4" min="4" style="0" width="20"/>
    <col collapsed="false" customWidth="true" hidden="false" outlineLevel="0" max="6" min="5" style="0" width="9"/>
    <col collapsed="false" customWidth="true" hidden="false" outlineLevel="0" max="7" min="7" style="0" width="13"/>
    <col collapsed="false" customWidth="true" hidden="false" outlineLevel="0" max="8" min="8" style="0" width="30"/>
    <col collapsed="false" customWidth="true" hidden="false" outlineLevel="0" max="9" min="9" style="0" width="28"/>
    <col collapsed="false" customWidth="true" hidden="false" outlineLevel="0" max="10" min="10" style="0" width="30"/>
    <col collapsed="false" customWidth="true" hidden="false" outlineLevel="0" max="12" min="11" style="0" width="16"/>
    <col collapsed="false" customWidth="true" hidden="false" outlineLevel="0" max="15" min="13" style="0" width="11"/>
    <col collapsed="false" customWidth="true" hidden="false" outlineLevel="0" max="17" min="16" style="0" width="14"/>
    <col collapsed="false" customWidth="true" hidden="false" outlineLevel="0" max="18" min="18" style="0" width="20"/>
    <col collapsed="false" customWidth="true" hidden="false" outlineLevel="0" max="19" min="19" style="0" width="11"/>
    <col collapsed="false" customWidth="true" hidden="false" outlineLevel="0" max="21" min="20" style="0" width="12"/>
    <col collapsed="false" customWidth="true" hidden="false" outlineLevel="0" max="22" min="22" style="0" width="18"/>
    <col collapsed="false" customWidth="true" hidden="false" outlineLevel="0" max="23" min="23" style="0" width="11"/>
    <col collapsed="false" customWidth="true" hidden="false" outlineLevel="0" max="24" min="24" style="0" width="34"/>
  </cols>
  <sheetData>
    <row r="1" customFormat="false" ht="27.75" hidden="false" customHeight="true" outlineLevel="0" collapsed="false">
      <c r="A1" s="1" t="s">
        <v>1148</v>
      </c>
      <c r="B1" s="1"/>
      <c r="C1" s="1"/>
      <c r="D1" s="1"/>
      <c r="E1" s="1"/>
      <c r="F1" s="1"/>
      <c r="G1" s="1"/>
      <c r="H1" s="1"/>
      <c r="I1" s="1"/>
      <c r="J1" s="1"/>
      <c r="K1" s="1"/>
      <c r="L1" s="1"/>
      <c r="M1" s="1"/>
      <c r="N1" s="1"/>
      <c r="O1" s="1"/>
      <c r="P1" s="1"/>
      <c r="Q1" s="1"/>
      <c r="R1" s="1"/>
      <c r="S1" s="1"/>
      <c r="T1" s="1"/>
      <c r="U1" s="1"/>
      <c r="V1" s="1"/>
      <c r="W1" s="1"/>
      <c r="X1" s="1"/>
    </row>
    <row r="2" customFormat="false" ht="18" hidden="false" customHeight="true" outlineLevel="0" collapsed="false"/>
    <row r="3" customFormat="false" ht="18" hidden="false" customHeight="true" outlineLevel="0" collapsed="false">
      <c r="A3" s="2" t="s">
        <v>1149</v>
      </c>
      <c r="B3" s="2"/>
      <c r="C3" s="2"/>
      <c r="D3" s="2"/>
      <c r="E3" s="2"/>
      <c r="F3" s="2"/>
      <c r="G3" s="2"/>
      <c r="H3" s="2"/>
      <c r="I3" s="2"/>
      <c r="J3" s="2"/>
      <c r="K3" s="2"/>
      <c r="L3" s="2"/>
      <c r="M3" s="2"/>
      <c r="N3" s="2"/>
      <c r="O3" s="2"/>
      <c r="P3" s="2"/>
      <c r="Q3" s="2"/>
      <c r="R3" s="2"/>
      <c r="S3" s="2"/>
      <c r="T3" s="2"/>
      <c r="U3" s="2"/>
      <c r="V3" s="2"/>
      <c r="W3" s="2"/>
      <c r="X3" s="2"/>
    </row>
    <row r="4" customFormat="false" ht="18" hidden="false" customHeight="true" outlineLevel="0" collapsed="false"/>
    <row r="5" customFormat="false" ht="18" hidden="false" customHeight="true" outlineLevel="0" collapsed="false"/>
    <row r="6" customFormat="false" ht="21.75" hidden="false" customHeight="true" outlineLevel="0" collapsed="false">
      <c r="A6" s="8" t="s">
        <v>1150</v>
      </c>
      <c r="B6" s="8"/>
      <c r="C6" s="8"/>
      <c r="D6" s="8"/>
      <c r="E6" s="8"/>
      <c r="F6" s="8"/>
      <c r="G6" s="8"/>
      <c r="H6" s="8"/>
      <c r="I6" s="8"/>
      <c r="J6" s="8"/>
      <c r="K6" s="8"/>
      <c r="L6" s="8"/>
      <c r="M6" s="8"/>
      <c r="N6" s="8"/>
      <c r="O6" s="8"/>
      <c r="P6" s="8"/>
      <c r="Q6" s="8"/>
      <c r="R6" s="8"/>
      <c r="S6" s="8"/>
      <c r="T6" s="8"/>
      <c r="U6" s="8"/>
      <c r="V6" s="8"/>
      <c r="W6" s="8"/>
      <c r="X6" s="8"/>
    </row>
    <row r="7" customFormat="false" ht="18" hidden="false" customHeight="true" outlineLevel="0" collapsed="false">
      <c r="A7" s="2" t="s">
        <v>1151</v>
      </c>
      <c r="B7" s="2"/>
      <c r="C7" s="2"/>
      <c r="D7" s="2"/>
      <c r="E7" s="2"/>
      <c r="F7" s="2"/>
      <c r="G7" s="2"/>
      <c r="H7" s="2"/>
      <c r="I7" s="2"/>
      <c r="J7" s="2"/>
      <c r="K7" s="2"/>
      <c r="L7" s="2"/>
      <c r="M7" s="2"/>
      <c r="N7" s="2"/>
      <c r="O7" s="2"/>
      <c r="P7" s="2"/>
      <c r="Q7" s="2"/>
      <c r="R7" s="2"/>
      <c r="S7" s="2"/>
      <c r="T7" s="2"/>
      <c r="U7" s="2"/>
      <c r="V7" s="2"/>
      <c r="W7" s="2"/>
      <c r="X7" s="2"/>
    </row>
    <row r="8" customFormat="false" ht="18" hidden="false" customHeight="true" outlineLevel="0" collapsed="false">
      <c r="A8" s="9" t="s">
        <v>50</v>
      </c>
      <c r="B8" s="9" t="s">
        <v>51</v>
      </c>
      <c r="C8" s="9"/>
      <c r="D8" s="9"/>
      <c r="E8" s="9" t="s">
        <v>52</v>
      </c>
      <c r="F8" s="9"/>
      <c r="G8" s="9" t="s">
        <v>53</v>
      </c>
      <c r="H8" s="9"/>
      <c r="I8" s="9"/>
    </row>
    <row r="9" customFormat="false" ht="18" hidden="false" customHeight="true" outlineLevel="0" collapsed="false">
      <c r="A9" s="14" t="s">
        <v>54</v>
      </c>
      <c r="B9" s="15" t="str">
        <f aca="false">'Org Profile'!C28</f>
        <v>Security reviewer</v>
      </c>
      <c r="C9" s="15"/>
      <c r="D9" s="15"/>
      <c r="E9" s="15" t="str">
        <f aca="false">'Org Profile'!C32</f>
        <v>Yearly</v>
      </c>
      <c r="F9" s="15"/>
      <c r="G9" s="15" t="str">
        <f aca="false">'Org Profile'!C36</f>
        <v>The business owner of the use case</v>
      </c>
      <c r="H9" s="15"/>
      <c r="I9" s="15"/>
    </row>
    <row r="10" customFormat="false" ht="18" hidden="false" customHeight="true" outlineLevel="0" collapsed="false">
      <c r="A10" s="16" t="s">
        <v>55</v>
      </c>
      <c r="B10" s="15" t="str">
        <f aca="false">'Org Profile'!C29</f>
        <v>Department lead with security review</v>
      </c>
      <c r="C10" s="15"/>
      <c r="D10" s="15"/>
      <c r="E10" s="15" t="str">
        <f aca="false">'Org Profile'!C33</f>
        <v>Every six months</v>
      </c>
      <c r="F10" s="15"/>
      <c r="G10" s="15" t="str">
        <f aca="false">'Org Profile'!C36</f>
        <v>The business owner of the use case</v>
      </c>
      <c r="H10" s="15"/>
      <c r="I10" s="15"/>
    </row>
    <row r="11" customFormat="false" ht="18" hidden="false" customHeight="true" outlineLevel="0" collapsed="false">
      <c r="A11" s="17" t="s">
        <v>56</v>
      </c>
      <c r="B11" s="15" t="str">
        <f aca="false">'Org Profile'!C30</f>
        <v>AI governance committee</v>
      </c>
      <c r="C11" s="15"/>
      <c r="D11" s="15"/>
      <c r="E11" s="15" t="str">
        <f aca="false">'Org Profile'!C34</f>
        <v>Quarterly</v>
      </c>
      <c r="F11" s="15"/>
      <c r="G11" s="15" t="str">
        <f aca="false">'Org Profile'!C37</f>
        <v>The business unit head</v>
      </c>
      <c r="H11" s="15"/>
      <c r="I11" s="15"/>
    </row>
    <row r="12" customFormat="false" ht="18" hidden="false" customHeight="true" outlineLevel="0" collapsed="false">
      <c r="A12" s="18" t="s">
        <v>57</v>
      </c>
      <c r="B12" s="15" t="str">
        <f aca="false">'Org Profile'!C31</f>
        <v>Exception only: CISO and the committee, with an executive sponsor</v>
      </c>
      <c r="C12" s="15"/>
      <c r="D12" s="15"/>
      <c r="E12" s="15" t="str">
        <f aca="false">'Org Profile'!C35</f>
        <v>Monthly</v>
      </c>
      <c r="F12" s="15"/>
      <c r="G12" s="15" t="str">
        <f aca="false">'Org Profile'!C38</f>
        <v>A named executive, with the exception on record</v>
      </c>
      <c r="H12" s="15"/>
      <c r="I12" s="15"/>
    </row>
    <row r="13" customFormat="false" ht="18" hidden="false" customHeight="true" outlineLevel="0" collapsed="false">
      <c r="A13" s="19" t="s">
        <v>1152</v>
      </c>
      <c r="B13" s="19"/>
      <c r="C13" s="19"/>
      <c r="D13" s="19"/>
      <c r="E13" s="19"/>
      <c r="F13" s="19"/>
      <c r="G13" s="19"/>
      <c r="H13" s="19"/>
      <c r="I13" s="19"/>
      <c r="J13" s="19"/>
      <c r="K13" s="19"/>
      <c r="L13" s="19"/>
      <c r="M13" s="19"/>
      <c r="N13" s="19"/>
      <c r="O13" s="19"/>
      <c r="P13" s="19"/>
      <c r="Q13" s="19"/>
      <c r="R13" s="19"/>
      <c r="S13" s="19"/>
      <c r="T13" s="19"/>
      <c r="U13" s="19"/>
      <c r="V13" s="19"/>
      <c r="W13" s="19"/>
      <c r="X13" s="19"/>
    </row>
    <row r="14" customFormat="false" ht="18" hidden="false" customHeight="true" outlineLevel="0" collapsed="false"/>
    <row r="15" customFormat="false" ht="21.75" hidden="false" customHeight="true" outlineLevel="0" collapsed="false">
      <c r="A15" s="8" t="s">
        <v>1153</v>
      </c>
      <c r="B15" s="8"/>
      <c r="C15" s="8"/>
      <c r="D15" s="8"/>
      <c r="E15" s="8"/>
      <c r="F15" s="8"/>
      <c r="G15" s="8"/>
      <c r="H15" s="8"/>
      <c r="I15" s="8"/>
      <c r="J15" s="8"/>
      <c r="K15" s="8"/>
      <c r="L15" s="8"/>
      <c r="M15" s="8"/>
      <c r="N15" s="8"/>
      <c r="O15" s="8"/>
      <c r="P15" s="8"/>
      <c r="Q15" s="8"/>
      <c r="R15" s="8"/>
      <c r="S15" s="8"/>
      <c r="T15" s="8"/>
      <c r="U15" s="8"/>
      <c r="V15" s="8"/>
      <c r="W15" s="8"/>
      <c r="X15" s="8"/>
    </row>
    <row r="16" customFormat="false" ht="30.75" hidden="false" customHeight="true" outlineLevel="0" collapsed="false">
      <c r="A16" s="9" t="s">
        <v>1154</v>
      </c>
      <c r="B16" s="9" t="s">
        <v>1155</v>
      </c>
      <c r="C16" s="9" t="s">
        <v>1036</v>
      </c>
      <c r="D16" s="9" t="s">
        <v>1156</v>
      </c>
      <c r="E16" s="9" t="s">
        <v>400</v>
      </c>
      <c r="F16" s="9" t="s">
        <v>401</v>
      </c>
      <c r="G16" s="9" t="s">
        <v>1157</v>
      </c>
      <c r="H16" s="9" t="s">
        <v>1158</v>
      </c>
      <c r="I16" s="9" t="s">
        <v>1159</v>
      </c>
      <c r="J16" s="9" t="s">
        <v>1160</v>
      </c>
      <c r="K16" s="9" t="s">
        <v>1161</v>
      </c>
      <c r="L16" s="9" t="s">
        <v>1162</v>
      </c>
      <c r="M16" s="9" t="s">
        <v>1163</v>
      </c>
      <c r="N16" s="9" t="s">
        <v>1164</v>
      </c>
      <c r="O16" s="9" t="s">
        <v>1165</v>
      </c>
      <c r="P16" s="9" t="s">
        <v>1166</v>
      </c>
      <c r="Q16" s="9" t="s">
        <v>1167</v>
      </c>
      <c r="R16" s="9" t="s">
        <v>1168</v>
      </c>
      <c r="S16" s="9" t="s">
        <v>1169</v>
      </c>
      <c r="T16" s="9" t="s">
        <v>1170</v>
      </c>
      <c r="U16" s="9" t="s">
        <v>1171</v>
      </c>
      <c r="V16" s="9" t="s">
        <v>1172</v>
      </c>
      <c r="W16" s="9" t="s">
        <v>1173</v>
      </c>
      <c r="X16" s="9" t="s">
        <v>1174</v>
      </c>
    </row>
    <row r="17" customFormat="false" ht="30.75" hidden="false" customHeight="true" outlineLevel="0" collapsed="false">
      <c r="A17" s="12" t="s">
        <v>1175</v>
      </c>
      <c r="B17" s="13" t="s">
        <v>1176</v>
      </c>
      <c r="C17" s="12" t="s">
        <v>1177</v>
      </c>
      <c r="D17" s="12" t="s">
        <v>1178</v>
      </c>
      <c r="E17" s="32" t="s">
        <v>55</v>
      </c>
      <c r="F17" s="30" t="s">
        <v>409</v>
      </c>
      <c r="G17" s="12" t="s">
        <v>1179</v>
      </c>
      <c r="H17" s="12" t="s">
        <v>1180</v>
      </c>
      <c r="I17" s="12" t="s">
        <v>1181</v>
      </c>
      <c r="J17" s="12" t="s">
        <v>1182</v>
      </c>
      <c r="K17" s="12" t="s">
        <v>1183</v>
      </c>
      <c r="L17" s="12" t="s">
        <v>1184</v>
      </c>
      <c r="M17" s="30" t="s">
        <v>1185</v>
      </c>
      <c r="N17" s="30" t="s">
        <v>1186</v>
      </c>
      <c r="O17" s="30" t="s">
        <v>1187</v>
      </c>
      <c r="P17" s="29" t="s">
        <v>406</v>
      </c>
      <c r="Q17" s="12"/>
      <c r="R17" s="12" t="s">
        <v>1188</v>
      </c>
      <c r="S17" s="12" t="s">
        <v>1189</v>
      </c>
      <c r="T17" s="12" t="s">
        <v>1190</v>
      </c>
      <c r="U17" s="12" t="s">
        <v>1191</v>
      </c>
      <c r="V17" s="12" t="s">
        <v>1192</v>
      </c>
      <c r="W17" s="12" t="s">
        <v>1193</v>
      </c>
      <c r="X17" s="12" t="s">
        <v>1194</v>
      </c>
    </row>
    <row r="18" customFormat="false" ht="30.75" hidden="false" customHeight="true" outlineLevel="0" collapsed="false">
      <c r="A18" s="12" t="s">
        <v>1195</v>
      </c>
      <c r="B18" s="13" t="s">
        <v>1196</v>
      </c>
      <c r="C18" s="12" t="s">
        <v>1197</v>
      </c>
      <c r="D18" s="12" t="s">
        <v>1178</v>
      </c>
      <c r="E18" s="32" t="s">
        <v>55</v>
      </c>
      <c r="F18" s="33" t="s">
        <v>135</v>
      </c>
      <c r="G18" s="12" t="s">
        <v>289</v>
      </c>
      <c r="H18" s="12" t="s">
        <v>1198</v>
      </c>
      <c r="I18" s="12" t="s">
        <v>1199</v>
      </c>
      <c r="J18" s="12" t="s">
        <v>1200</v>
      </c>
      <c r="K18" s="12" t="s">
        <v>1201</v>
      </c>
      <c r="L18" s="12" t="s">
        <v>1202</v>
      </c>
      <c r="M18" s="30" t="s">
        <v>1203</v>
      </c>
      <c r="N18" s="30" t="s">
        <v>1186</v>
      </c>
      <c r="O18" s="30" t="s">
        <v>1187</v>
      </c>
      <c r="P18" s="29" t="s">
        <v>406</v>
      </c>
      <c r="Q18" s="12"/>
      <c r="R18" s="12" t="s">
        <v>1204</v>
      </c>
      <c r="S18" s="12" t="s">
        <v>1205</v>
      </c>
      <c r="T18" s="12" t="s">
        <v>1206</v>
      </c>
      <c r="U18" s="12" t="s">
        <v>1207</v>
      </c>
      <c r="V18" s="12" t="s">
        <v>1208</v>
      </c>
      <c r="W18" s="12" t="s">
        <v>1209</v>
      </c>
      <c r="X18" s="12" t="s">
        <v>1210</v>
      </c>
    </row>
    <row r="19" customFormat="false" ht="30.75" hidden="false" customHeight="true" outlineLevel="0" collapsed="false">
      <c r="A19" s="12" t="s">
        <v>1211</v>
      </c>
      <c r="B19" s="13" t="s">
        <v>1212</v>
      </c>
      <c r="C19" s="12" t="s">
        <v>1213</v>
      </c>
      <c r="D19" s="12" t="s">
        <v>1178</v>
      </c>
      <c r="E19" s="32" t="s">
        <v>55</v>
      </c>
      <c r="F19" s="33" t="s">
        <v>135</v>
      </c>
      <c r="G19" s="12" t="s">
        <v>289</v>
      </c>
      <c r="H19" s="12" t="s">
        <v>1214</v>
      </c>
      <c r="I19" s="12" t="s">
        <v>1199</v>
      </c>
      <c r="J19" s="12" t="s">
        <v>1215</v>
      </c>
      <c r="K19" s="12" t="s">
        <v>1216</v>
      </c>
      <c r="L19" s="12" t="s">
        <v>1184</v>
      </c>
      <c r="M19" s="30" t="s">
        <v>1217</v>
      </c>
      <c r="N19" s="30" t="s">
        <v>1218</v>
      </c>
      <c r="O19" s="30" t="s">
        <v>1219</v>
      </c>
      <c r="P19" s="29" t="s">
        <v>406</v>
      </c>
      <c r="Q19" s="12"/>
      <c r="R19" s="12" t="s">
        <v>1220</v>
      </c>
      <c r="S19" s="12" t="s">
        <v>1221</v>
      </c>
      <c r="T19" s="12" t="s">
        <v>1222</v>
      </c>
      <c r="U19" s="12" t="s">
        <v>1207</v>
      </c>
      <c r="V19" s="12" t="s">
        <v>1208</v>
      </c>
      <c r="W19" s="12" t="s">
        <v>1223</v>
      </c>
      <c r="X19" s="12" t="s">
        <v>1224</v>
      </c>
    </row>
    <row r="20" customFormat="false" ht="30.75" hidden="false" customHeight="true" outlineLevel="0" collapsed="false">
      <c r="A20" s="12" t="s">
        <v>1225</v>
      </c>
      <c r="B20" s="13" t="s">
        <v>1226</v>
      </c>
      <c r="C20" s="12" t="s">
        <v>1227</v>
      </c>
      <c r="D20" s="12" t="s">
        <v>1178</v>
      </c>
      <c r="E20" s="34" t="s">
        <v>56</v>
      </c>
      <c r="F20" s="33" t="s">
        <v>135</v>
      </c>
      <c r="G20" s="12" t="s">
        <v>1228</v>
      </c>
      <c r="H20" s="12" t="s">
        <v>1229</v>
      </c>
      <c r="I20" s="12" t="s">
        <v>1230</v>
      </c>
      <c r="J20" s="12" t="s">
        <v>1231</v>
      </c>
      <c r="K20" s="12" t="s">
        <v>1232</v>
      </c>
      <c r="L20" s="12" t="s">
        <v>1233</v>
      </c>
      <c r="M20" s="30" t="s">
        <v>1234</v>
      </c>
      <c r="N20" s="30" t="s">
        <v>1235</v>
      </c>
      <c r="O20" s="30" t="s">
        <v>1236</v>
      </c>
      <c r="P20" s="29" t="s">
        <v>406</v>
      </c>
      <c r="Q20" s="12"/>
      <c r="R20" s="12" t="s">
        <v>1237</v>
      </c>
      <c r="S20" s="12" t="s">
        <v>1238</v>
      </c>
      <c r="T20" s="12" t="s">
        <v>1239</v>
      </c>
      <c r="U20" s="12" t="s">
        <v>1191</v>
      </c>
      <c r="V20" s="12" t="s">
        <v>1240</v>
      </c>
      <c r="W20" s="12" t="s">
        <v>1241</v>
      </c>
      <c r="X20" s="12" t="s">
        <v>1242</v>
      </c>
    </row>
    <row r="21" customFormat="false" ht="43.5" hidden="false" customHeight="true" outlineLevel="0" collapsed="false">
      <c r="A21" s="12" t="s">
        <v>1243</v>
      </c>
      <c r="B21" s="13" t="s">
        <v>1244</v>
      </c>
      <c r="C21" s="12" t="s">
        <v>1245</v>
      </c>
      <c r="D21" s="12" t="s">
        <v>1246</v>
      </c>
      <c r="E21" s="34" t="s">
        <v>56</v>
      </c>
      <c r="F21" s="30" t="s">
        <v>409</v>
      </c>
      <c r="G21" s="12" t="s">
        <v>1228</v>
      </c>
      <c r="H21" s="12" t="s">
        <v>1247</v>
      </c>
      <c r="I21" s="12" t="s">
        <v>1248</v>
      </c>
      <c r="J21" s="12" t="s">
        <v>1249</v>
      </c>
      <c r="K21" s="12" t="s">
        <v>1250</v>
      </c>
      <c r="L21" s="12" t="s">
        <v>1251</v>
      </c>
      <c r="M21" s="30" t="s">
        <v>1252</v>
      </c>
      <c r="N21" s="30" t="s">
        <v>1252</v>
      </c>
      <c r="O21" s="30" t="s">
        <v>1253</v>
      </c>
      <c r="P21" s="29" t="s">
        <v>406</v>
      </c>
      <c r="Q21" s="12"/>
      <c r="R21" s="12" t="s">
        <v>1254</v>
      </c>
      <c r="S21" s="12" t="s">
        <v>1255</v>
      </c>
      <c r="T21" s="12" t="s">
        <v>1179</v>
      </c>
      <c r="U21" s="12" t="s">
        <v>1191</v>
      </c>
      <c r="V21" s="12" t="s">
        <v>1256</v>
      </c>
      <c r="W21" s="12" t="s">
        <v>1257</v>
      </c>
      <c r="X21" s="12" t="s">
        <v>1258</v>
      </c>
    </row>
    <row r="22" customFormat="false" ht="30.75" hidden="false" customHeight="true" outlineLevel="0" collapsed="false">
      <c r="A22" s="12" t="s">
        <v>1259</v>
      </c>
      <c r="B22" s="13" t="s">
        <v>1260</v>
      </c>
      <c r="C22" s="12" t="s">
        <v>1261</v>
      </c>
      <c r="D22" s="12" t="s">
        <v>1178</v>
      </c>
      <c r="E22" s="35" t="s">
        <v>57</v>
      </c>
      <c r="F22" s="33" t="s">
        <v>135</v>
      </c>
      <c r="G22" s="12" t="s">
        <v>289</v>
      </c>
      <c r="H22" s="12" t="s">
        <v>1262</v>
      </c>
      <c r="I22" s="12" t="s">
        <v>1230</v>
      </c>
      <c r="J22" s="12" t="s">
        <v>1263</v>
      </c>
      <c r="K22" s="12" t="s">
        <v>1264</v>
      </c>
      <c r="L22" s="12" t="s">
        <v>1265</v>
      </c>
      <c r="M22" s="30" t="s">
        <v>1266</v>
      </c>
      <c r="N22" s="30" t="s">
        <v>1252</v>
      </c>
      <c r="O22" s="30" t="s">
        <v>1267</v>
      </c>
      <c r="P22" s="33" t="s">
        <v>1268</v>
      </c>
      <c r="Q22" s="12" t="s">
        <v>1269</v>
      </c>
      <c r="R22" s="12" t="s">
        <v>1270</v>
      </c>
      <c r="S22" s="12" t="s">
        <v>1271</v>
      </c>
      <c r="T22" s="12" t="s">
        <v>1253</v>
      </c>
      <c r="U22" s="12" t="s">
        <v>1191</v>
      </c>
      <c r="V22" s="12" t="s">
        <v>1208</v>
      </c>
      <c r="W22" s="12" t="s">
        <v>1272</v>
      </c>
      <c r="X22" s="12" t="s">
        <v>1273</v>
      </c>
    </row>
    <row r="23" customFormat="false" ht="30.75" hidden="false" customHeight="true" outlineLevel="0" collapsed="false">
      <c r="A23" s="12" t="s">
        <v>1274</v>
      </c>
      <c r="B23" s="13" t="s">
        <v>1275</v>
      </c>
      <c r="C23" s="12" t="s">
        <v>1276</v>
      </c>
      <c r="D23" s="12" t="s">
        <v>1178</v>
      </c>
      <c r="E23" s="34" t="s">
        <v>56</v>
      </c>
      <c r="F23" s="33" t="s">
        <v>135</v>
      </c>
      <c r="G23" s="12" t="s">
        <v>1179</v>
      </c>
      <c r="H23" s="12" t="s">
        <v>1277</v>
      </c>
      <c r="I23" s="12" t="s">
        <v>1278</v>
      </c>
      <c r="J23" s="12" t="s">
        <v>1279</v>
      </c>
      <c r="K23" s="12" t="s">
        <v>1280</v>
      </c>
      <c r="L23" s="12" t="s">
        <v>1281</v>
      </c>
      <c r="M23" s="30" t="s">
        <v>1282</v>
      </c>
      <c r="N23" s="30" t="s">
        <v>1283</v>
      </c>
      <c r="O23" s="30" t="s">
        <v>1284</v>
      </c>
      <c r="P23" s="29" t="s">
        <v>406</v>
      </c>
      <c r="Q23" s="12"/>
      <c r="R23" s="12" t="s">
        <v>1285</v>
      </c>
      <c r="S23" s="12" t="s">
        <v>1286</v>
      </c>
      <c r="T23" s="12" t="s">
        <v>1285</v>
      </c>
      <c r="U23" s="12" t="s">
        <v>1191</v>
      </c>
      <c r="V23" s="12" t="s">
        <v>1208</v>
      </c>
      <c r="W23" s="12" t="s">
        <v>1287</v>
      </c>
      <c r="X23" s="12" t="s">
        <v>1288</v>
      </c>
    </row>
    <row r="24" customFormat="false" ht="43.5" hidden="false" customHeight="true" outlineLevel="0" collapsed="false">
      <c r="A24" s="12" t="s">
        <v>1289</v>
      </c>
      <c r="B24" s="13" t="s">
        <v>1290</v>
      </c>
      <c r="C24" s="12" t="s">
        <v>1291</v>
      </c>
      <c r="D24" s="12" t="s">
        <v>1292</v>
      </c>
      <c r="E24" s="34" t="s">
        <v>56</v>
      </c>
      <c r="F24" s="33" t="s">
        <v>135</v>
      </c>
      <c r="G24" s="12" t="s">
        <v>289</v>
      </c>
      <c r="H24" s="12" t="s">
        <v>1293</v>
      </c>
      <c r="I24" s="12" t="s">
        <v>1294</v>
      </c>
      <c r="J24" s="12" t="s">
        <v>1295</v>
      </c>
      <c r="K24" s="12" t="s">
        <v>1296</v>
      </c>
      <c r="L24" s="12" t="s">
        <v>1297</v>
      </c>
      <c r="M24" s="30" t="s">
        <v>1298</v>
      </c>
      <c r="N24" s="30" t="s">
        <v>1298</v>
      </c>
      <c r="O24" s="30" t="s">
        <v>1299</v>
      </c>
      <c r="P24" s="32" t="s">
        <v>1300</v>
      </c>
      <c r="Q24" s="12"/>
      <c r="R24" s="12" t="s">
        <v>1301</v>
      </c>
      <c r="S24" s="12" t="s">
        <v>1302</v>
      </c>
      <c r="T24" s="12" t="s">
        <v>1303</v>
      </c>
      <c r="U24" s="12" t="s">
        <v>1191</v>
      </c>
      <c r="V24" s="12" t="s">
        <v>1208</v>
      </c>
      <c r="W24" s="12" t="s">
        <v>1304</v>
      </c>
      <c r="X24" s="12" t="s">
        <v>1305</v>
      </c>
    </row>
    <row r="25" customFormat="false" ht="30.75" hidden="false" customHeight="true" outlineLevel="0" collapsed="false">
      <c r="A25" s="12" t="s">
        <v>1306</v>
      </c>
      <c r="B25" s="13" t="s">
        <v>1307</v>
      </c>
      <c r="C25" s="12" t="s">
        <v>1308</v>
      </c>
      <c r="D25" s="12" t="s">
        <v>1178</v>
      </c>
      <c r="E25" s="34" t="s">
        <v>56</v>
      </c>
      <c r="F25" s="30" t="s">
        <v>409</v>
      </c>
      <c r="G25" s="12" t="s">
        <v>289</v>
      </c>
      <c r="H25" s="12" t="s">
        <v>1309</v>
      </c>
      <c r="I25" s="12" t="s">
        <v>1310</v>
      </c>
      <c r="J25" s="12" t="s">
        <v>1311</v>
      </c>
      <c r="K25" s="12" t="s">
        <v>1312</v>
      </c>
      <c r="L25" s="12" t="s">
        <v>1233</v>
      </c>
      <c r="M25" s="30" t="s">
        <v>1313</v>
      </c>
      <c r="N25" s="30" t="s">
        <v>1298</v>
      </c>
      <c r="O25" s="30" t="s">
        <v>1299</v>
      </c>
      <c r="P25" s="29" t="s">
        <v>406</v>
      </c>
      <c r="Q25" s="12"/>
      <c r="R25" s="12" t="s">
        <v>1285</v>
      </c>
      <c r="S25" s="12" t="s">
        <v>1314</v>
      </c>
      <c r="T25" s="12" t="s">
        <v>1315</v>
      </c>
      <c r="U25" s="12" t="s">
        <v>1191</v>
      </c>
      <c r="V25" s="12" t="s">
        <v>1208</v>
      </c>
      <c r="W25" s="12" t="s">
        <v>1316</v>
      </c>
      <c r="X25" s="12" t="s">
        <v>1317</v>
      </c>
    </row>
    <row r="26" customFormat="false" ht="30.75" hidden="false" customHeight="true" outlineLevel="0" collapsed="false">
      <c r="A26" s="12" t="s">
        <v>1318</v>
      </c>
      <c r="B26" s="13" t="s">
        <v>1319</v>
      </c>
      <c r="C26" s="12" t="s">
        <v>1320</v>
      </c>
      <c r="D26" s="12" t="s">
        <v>1178</v>
      </c>
      <c r="E26" s="32" t="s">
        <v>55</v>
      </c>
      <c r="F26" s="30" t="s">
        <v>409</v>
      </c>
      <c r="G26" s="12" t="s">
        <v>1179</v>
      </c>
      <c r="H26" s="12" t="s">
        <v>1321</v>
      </c>
      <c r="I26" s="12" t="s">
        <v>1322</v>
      </c>
      <c r="J26" s="12" t="s">
        <v>1323</v>
      </c>
      <c r="K26" s="12" t="s">
        <v>1324</v>
      </c>
      <c r="L26" s="12" t="s">
        <v>1280</v>
      </c>
      <c r="M26" s="30" t="s">
        <v>1325</v>
      </c>
      <c r="N26" s="30" t="s">
        <v>1266</v>
      </c>
      <c r="O26" s="30" t="s">
        <v>1253</v>
      </c>
      <c r="P26" s="34" t="s">
        <v>1326</v>
      </c>
      <c r="Q26" s="12"/>
      <c r="R26" s="12" t="s">
        <v>1327</v>
      </c>
      <c r="S26" s="12" t="s">
        <v>1328</v>
      </c>
      <c r="T26" s="12" t="s">
        <v>1329</v>
      </c>
      <c r="U26" s="12" t="s">
        <v>1191</v>
      </c>
      <c r="V26" s="12"/>
      <c r="W26" s="12" t="s">
        <v>1330</v>
      </c>
      <c r="X26" s="12" t="s">
        <v>1331</v>
      </c>
    </row>
    <row r="27" customFormat="false" ht="18" hidden="false" customHeight="tru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2"/>
      <c r="X27" s="12"/>
    </row>
    <row r="28" customFormat="false" ht="18" hidden="false" customHeight="tru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2"/>
      <c r="X28" s="12"/>
    </row>
    <row r="29" customFormat="false" ht="18" hidden="false" customHeight="tru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2"/>
      <c r="X29" s="12"/>
    </row>
    <row r="30" customFormat="false" ht="18" hidden="false" customHeight="tru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2"/>
      <c r="X30" s="12"/>
    </row>
    <row r="31" customFormat="false" ht="18" hidden="false" customHeight="tru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2"/>
      <c r="X31" s="12"/>
    </row>
    <row r="32" customFormat="false" ht="18" hidden="false" customHeight="tru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2"/>
      <c r="X32" s="12"/>
    </row>
    <row r="33" customFormat="false" ht="18" hidden="false" customHeight="tru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2"/>
      <c r="X33" s="12"/>
    </row>
    <row r="34" customFormat="false" ht="18" hidden="false" customHeight="true" outlineLevel="0" collapsed="false">
      <c r="A34" s="12"/>
      <c r="B34" s="12"/>
      <c r="C34" s="12"/>
      <c r="D34" s="12"/>
      <c r="E34" s="12"/>
      <c r="F34" s="12"/>
      <c r="G34" s="12"/>
      <c r="H34" s="12"/>
      <c r="I34" s="12"/>
      <c r="J34" s="12"/>
      <c r="K34" s="12"/>
      <c r="L34" s="12"/>
      <c r="M34" s="12"/>
      <c r="N34" s="12"/>
      <c r="O34" s="12"/>
      <c r="P34" s="12"/>
      <c r="Q34" s="12"/>
      <c r="R34" s="12"/>
      <c r="S34" s="12"/>
      <c r="T34" s="12"/>
      <c r="U34" s="12"/>
      <c r="V34" s="12"/>
      <c r="W34" s="12"/>
      <c r="X34" s="12"/>
    </row>
    <row r="35" customFormat="false" ht="18" hidden="false" customHeight="tru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row>
    <row r="36" customFormat="false" ht="18" hidden="false" customHeight="tru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row>
  </sheetData>
  <autoFilter ref="A16:X36"/>
  <mergeCells count="21">
    <mergeCell ref="A1:X1"/>
    <mergeCell ref="A3:X3"/>
    <mergeCell ref="A6:X6"/>
    <mergeCell ref="A7:X7"/>
    <mergeCell ref="B8:D8"/>
    <mergeCell ref="E8:F8"/>
    <mergeCell ref="G8:I8"/>
    <mergeCell ref="B9:D9"/>
    <mergeCell ref="E9:F9"/>
    <mergeCell ref="G9:I9"/>
    <mergeCell ref="B10:D10"/>
    <mergeCell ref="E10:F10"/>
    <mergeCell ref="G10:I10"/>
    <mergeCell ref="B11:D11"/>
    <mergeCell ref="E11:F11"/>
    <mergeCell ref="G11:I11"/>
    <mergeCell ref="B12:D12"/>
    <mergeCell ref="E12:F12"/>
    <mergeCell ref="G12:I12"/>
    <mergeCell ref="A13:X13"/>
    <mergeCell ref="A15:X15"/>
  </mergeCells>
  <dataValidations count="5">
    <dataValidation allowBlank="true" error="Pick one of the listed values" errorStyle="stop" errorTitle="Pick from the list" operator="between" showDropDown="false" showErrorMessage="true" showInputMessage="false" sqref="D17:D36" type="list">
      <formula1>"Vendor product,Vendor-added AI,Internal build"</formula1>
      <formula2>0</formula2>
    </dataValidation>
    <dataValidation allowBlank="true" error="Pick one of the listed values" errorStyle="stop" errorTitle="Pick from the list" operator="between" showDropDown="false" showErrorMessage="true" showInputMessage="false" sqref="E17:E36" type="list">
      <formula1>"Low,Medium,High,Severe"</formula1>
      <formula2>0</formula2>
    </dataValidation>
    <dataValidation allowBlank="true" error="Pick one of the listed values" errorStyle="stop" errorTitle="Pick from the list" operator="between" showDropDown="false" showErrorMessage="true" showInputMessage="false" sqref="F17:F36" type="list">
      <formula1>"Yes,No"</formula1>
      <formula2>0</formula2>
    </dataValidation>
    <dataValidation allowBlank="true" error="Pick one of the listed values" errorStyle="stop" errorTitle="Pick from the list" operator="between" showDropDown="false" showErrorMessage="true" showInputMessage="false" sqref="G17:G36" type="list">
      <formula1>"Public,Internal,Confidential,Restricted"</formula1>
      <formula2>0</formula2>
    </dataValidation>
    <dataValidation allowBlank="true" error="Pick one of the listed values" errorStyle="stop" errorTitle="Pick from the list" operator="between" showDropDown="false" showErrorMessage="true" showInputMessage="false" sqref="P17:P36" type="list">
      <formula1>"Active,Under review,Suspended,Exception,Decommissioned"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5" topLeftCell="C26" activePane="bottomRight" state="frozen"/>
      <selection pane="topLeft" activeCell="A1" activeCellId="0" sqref="A1"/>
      <selection pane="topRight" activeCell="C1" activeCellId="0" sqref="C1"/>
      <selection pane="bottomLeft" activeCell="A26" activeCellId="0" sqref="A2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24"/>
    <col collapsed="false" customWidth="true" hidden="false" outlineLevel="0" max="4" min="4" style="0" width="20"/>
    <col collapsed="false" customWidth="true" hidden="false" outlineLevel="0" max="5" min="5" style="0" width="9"/>
    <col collapsed="false" customWidth="true" hidden="false" outlineLevel="0" max="6" min="6" style="0" width="24"/>
    <col collapsed="false" customWidth="true" hidden="false" outlineLevel="0" max="8" min="7" style="0" width="30"/>
    <col collapsed="false" customWidth="true" hidden="false" outlineLevel="0" max="9" min="9" style="0" width="12"/>
    <col collapsed="false" customWidth="true" hidden="false" outlineLevel="0" max="10" min="10" style="0" width="20"/>
    <col collapsed="false" customWidth="true" hidden="false" outlineLevel="0" max="12" min="11" style="0" width="11"/>
    <col collapsed="false" customWidth="true" hidden="false" outlineLevel="0" max="14" min="13" style="0" width="12"/>
    <col collapsed="false" customWidth="true" hidden="false" outlineLevel="0" max="15" min="15" style="0" width="24"/>
    <col collapsed="false" customWidth="true" hidden="false" outlineLevel="0" max="16" min="16" style="0" width="14"/>
  </cols>
  <sheetData>
    <row r="1" customFormat="false" ht="27.75" hidden="false" customHeight="true" outlineLevel="0" collapsed="false">
      <c r="A1" s="1" t="s">
        <v>1332</v>
      </c>
      <c r="B1" s="1"/>
      <c r="C1" s="1"/>
      <c r="D1" s="1"/>
      <c r="E1" s="1"/>
      <c r="F1" s="1"/>
      <c r="G1" s="1"/>
      <c r="H1" s="1"/>
      <c r="I1" s="1"/>
      <c r="J1" s="1"/>
      <c r="K1" s="1"/>
      <c r="L1" s="1"/>
      <c r="M1" s="1"/>
      <c r="N1" s="1"/>
      <c r="O1" s="1"/>
      <c r="P1" s="1"/>
    </row>
    <row r="2" customFormat="false" ht="18" hidden="false" customHeight="true" outlineLevel="0" collapsed="false"/>
    <row r="3" customFormat="false" ht="30.75" hidden="false" customHeight="true" outlineLevel="0" collapsed="false">
      <c r="A3" s="2" t="s">
        <v>1333</v>
      </c>
      <c r="B3" s="2"/>
      <c r="C3" s="2"/>
      <c r="D3" s="2"/>
      <c r="E3" s="2"/>
      <c r="F3" s="2"/>
      <c r="G3" s="2"/>
      <c r="H3" s="2"/>
      <c r="I3" s="2"/>
      <c r="J3" s="2"/>
      <c r="K3" s="2"/>
      <c r="L3" s="2"/>
      <c r="M3" s="2"/>
      <c r="N3" s="2"/>
      <c r="O3" s="2"/>
      <c r="P3" s="2"/>
    </row>
    <row r="4" customFormat="false" ht="18" hidden="false" customHeight="true" outlineLevel="0" collapsed="false"/>
    <row r="5" customFormat="false" ht="18" hidden="false" customHeight="true" outlineLevel="0" collapsed="false"/>
    <row r="6" customFormat="false" ht="21.75" hidden="false" customHeight="true" outlineLevel="0" collapsed="false">
      <c r="A6" s="8" t="s">
        <v>1334</v>
      </c>
      <c r="B6" s="8"/>
      <c r="C6" s="8"/>
      <c r="D6" s="8"/>
      <c r="E6" s="8"/>
      <c r="F6" s="8"/>
      <c r="G6" s="8"/>
      <c r="H6" s="8"/>
      <c r="I6" s="8"/>
      <c r="J6" s="8"/>
      <c r="K6" s="8"/>
      <c r="L6" s="8"/>
      <c r="M6" s="8"/>
      <c r="N6" s="8"/>
      <c r="O6" s="8"/>
      <c r="P6" s="8"/>
    </row>
    <row r="7" customFormat="false" ht="18" hidden="false" customHeight="true" outlineLevel="0" collapsed="false">
      <c r="A7" s="9" t="s">
        <v>1335</v>
      </c>
      <c r="B7" s="9"/>
      <c r="C7" s="9" t="s">
        <v>1336</v>
      </c>
      <c r="D7" s="9"/>
      <c r="E7" s="9"/>
      <c r="F7" s="9" t="s">
        <v>1337</v>
      </c>
      <c r="G7" s="9"/>
      <c r="H7" s="9"/>
      <c r="I7" s="9" t="s">
        <v>1338</v>
      </c>
      <c r="J7" s="9"/>
      <c r="K7" s="9" t="s">
        <v>1339</v>
      </c>
      <c r="L7" s="9"/>
    </row>
    <row r="8" customFormat="false" ht="30.75" hidden="false" customHeight="true" outlineLevel="0" collapsed="false">
      <c r="A8" s="13" t="s">
        <v>1340</v>
      </c>
      <c r="B8" s="13"/>
      <c r="C8" s="12" t="s">
        <v>1341</v>
      </c>
      <c r="D8" s="12"/>
      <c r="E8" s="12"/>
      <c r="F8" s="12" t="s">
        <v>1342</v>
      </c>
      <c r="G8" s="12"/>
      <c r="H8" s="12"/>
      <c r="I8" s="12" t="s">
        <v>1343</v>
      </c>
      <c r="J8" s="12"/>
      <c r="K8" s="12" t="s">
        <v>1344</v>
      </c>
      <c r="L8" s="12"/>
    </row>
    <row r="9" customFormat="false" ht="18" hidden="false" customHeight="true" outlineLevel="0" collapsed="false">
      <c r="A9" s="13" t="s">
        <v>1345</v>
      </c>
      <c r="B9" s="13"/>
      <c r="C9" s="12" t="s">
        <v>1346</v>
      </c>
      <c r="D9" s="12"/>
      <c r="E9" s="12"/>
      <c r="F9" s="12" t="s">
        <v>1347</v>
      </c>
      <c r="G9" s="12"/>
      <c r="H9" s="12"/>
      <c r="I9" s="12" t="s">
        <v>1348</v>
      </c>
      <c r="J9" s="12"/>
      <c r="K9" s="12" t="s">
        <v>1344</v>
      </c>
      <c r="L9" s="12"/>
    </row>
    <row r="10" customFormat="false" ht="18" hidden="false" customHeight="true" outlineLevel="0" collapsed="false">
      <c r="A10" s="13" t="s">
        <v>1349</v>
      </c>
      <c r="B10" s="13"/>
      <c r="C10" s="12" t="s">
        <v>1350</v>
      </c>
      <c r="D10" s="12"/>
      <c r="E10" s="12"/>
      <c r="F10" s="12" t="s">
        <v>1351</v>
      </c>
      <c r="G10" s="12"/>
      <c r="H10" s="12"/>
      <c r="I10" s="12" t="s">
        <v>1348</v>
      </c>
      <c r="J10" s="12"/>
      <c r="K10" s="12" t="s">
        <v>1344</v>
      </c>
      <c r="L10" s="12"/>
    </row>
    <row r="11" customFormat="false" ht="18" hidden="false" customHeight="true" outlineLevel="0" collapsed="false">
      <c r="A11" s="13" t="s">
        <v>1352</v>
      </c>
      <c r="B11" s="13"/>
      <c r="C11" s="12" t="s">
        <v>1353</v>
      </c>
      <c r="D11" s="12"/>
      <c r="E11" s="12"/>
      <c r="F11" s="12" t="s">
        <v>1354</v>
      </c>
      <c r="G11" s="12"/>
      <c r="H11" s="12"/>
      <c r="I11" s="12" t="s">
        <v>1355</v>
      </c>
      <c r="J11" s="12"/>
      <c r="K11" s="12" t="s">
        <v>1356</v>
      </c>
      <c r="L11" s="12"/>
    </row>
    <row r="12" customFormat="false" ht="18" hidden="false" customHeight="true" outlineLevel="0" collapsed="false">
      <c r="A12" s="13" t="s">
        <v>1357</v>
      </c>
      <c r="B12" s="13"/>
      <c r="C12" s="12" t="s">
        <v>1358</v>
      </c>
      <c r="D12" s="12"/>
      <c r="E12" s="12"/>
      <c r="F12" s="12" t="s">
        <v>1359</v>
      </c>
      <c r="G12" s="12"/>
      <c r="H12" s="12"/>
      <c r="I12" s="12" t="s">
        <v>1360</v>
      </c>
      <c r="J12" s="12"/>
      <c r="K12" s="12" t="s">
        <v>1361</v>
      </c>
      <c r="L12" s="12"/>
    </row>
    <row r="13" customFormat="false" ht="30.75" hidden="false" customHeight="true" outlineLevel="0" collapsed="false">
      <c r="A13" s="13" t="s">
        <v>1362</v>
      </c>
      <c r="B13" s="13"/>
      <c r="C13" s="12" t="s">
        <v>1363</v>
      </c>
      <c r="D13" s="12"/>
      <c r="E13" s="12"/>
      <c r="F13" s="12" t="s">
        <v>1364</v>
      </c>
      <c r="G13" s="12"/>
      <c r="H13" s="12"/>
      <c r="I13" s="12" t="s">
        <v>1365</v>
      </c>
      <c r="J13" s="12"/>
      <c r="K13" s="12" t="s">
        <v>1366</v>
      </c>
      <c r="L13" s="12"/>
    </row>
    <row r="14" customFormat="false" ht="30.75" hidden="false" customHeight="true" outlineLevel="0" collapsed="false">
      <c r="A14" s="13" t="s">
        <v>1367</v>
      </c>
      <c r="B14" s="13"/>
      <c r="C14" s="12" t="s">
        <v>1368</v>
      </c>
      <c r="D14" s="12"/>
      <c r="E14" s="12"/>
      <c r="F14" s="12" t="s">
        <v>1347</v>
      </c>
      <c r="G14" s="12"/>
      <c r="H14" s="12"/>
      <c r="I14" s="12" t="s">
        <v>1369</v>
      </c>
      <c r="J14" s="12"/>
      <c r="K14" s="12" t="s">
        <v>1370</v>
      </c>
      <c r="L14" s="12"/>
    </row>
    <row r="15" customFormat="false" ht="18" hidden="false" customHeight="true" outlineLevel="0" collapsed="false">
      <c r="A15" s="52" t="s">
        <v>1371</v>
      </c>
      <c r="B15" s="52"/>
      <c r="C15" s="15" t="str">
        <f aca="false">"From Org Profile: "&amp;'Org Profile'!C39&amp;". The approval column above is the starter routing by type; the approver of record signs every exception."</f>
        <v>From Org Profile: CISO. The approval column above is the starter routing by type; the approver of record signs every exception.</v>
      </c>
      <c r="D15" s="15"/>
      <c r="E15" s="15"/>
      <c r="F15" s="15"/>
      <c r="G15" s="15"/>
      <c r="H15" s="15"/>
      <c r="I15" s="15"/>
      <c r="J15" s="15"/>
      <c r="K15" s="15"/>
      <c r="L15" s="15"/>
    </row>
    <row r="16" customFormat="false" ht="18" hidden="false" customHeight="true" outlineLevel="0" collapsed="false"/>
    <row r="17" customFormat="false" ht="21.75" hidden="false" customHeight="true" outlineLevel="0" collapsed="false">
      <c r="A17" s="8" t="s">
        <v>1372</v>
      </c>
      <c r="B17" s="8"/>
      <c r="C17" s="8"/>
      <c r="D17" s="8"/>
      <c r="E17" s="8"/>
      <c r="F17" s="8"/>
      <c r="G17" s="8"/>
      <c r="H17" s="8"/>
      <c r="I17" s="8"/>
      <c r="J17" s="8"/>
      <c r="K17" s="8"/>
      <c r="L17" s="8"/>
      <c r="M17" s="8"/>
      <c r="N17" s="8"/>
      <c r="O17" s="8"/>
      <c r="P17" s="8"/>
    </row>
    <row r="18" customFormat="false" ht="18" hidden="false" customHeight="true" outlineLevel="0" collapsed="false">
      <c r="A18" s="14" t="s">
        <v>406</v>
      </c>
      <c r="B18" s="14"/>
      <c r="C18" s="12" t="s">
        <v>1373</v>
      </c>
      <c r="D18" s="12"/>
      <c r="E18" s="12"/>
      <c r="F18" s="12"/>
      <c r="G18" s="12"/>
      <c r="H18" s="12"/>
      <c r="I18" s="12"/>
      <c r="J18" s="12"/>
      <c r="K18" s="12"/>
      <c r="L18" s="12"/>
    </row>
    <row r="19" customFormat="false" ht="18" hidden="false" customHeight="true" outlineLevel="0" collapsed="false">
      <c r="A19" s="16" t="s">
        <v>1374</v>
      </c>
      <c r="B19" s="16"/>
      <c r="C19" s="12" t="s">
        <v>1375</v>
      </c>
      <c r="D19" s="12"/>
      <c r="E19" s="12"/>
      <c r="F19" s="12"/>
      <c r="G19" s="12"/>
      <c r="H19" s="12"/>
      <c r="I19" s="12"/>
      <c r="J19" s="12"/>
      <c r="K19" s="12"/>
      <c r="L19" s="12"/>
    </row>
    <row r="20" customFormat="false" ht="18" hidden="false" customHeight="true" outlineLevel="0" collapsed="false">
      <c r="A20" s="18" t="s">
        <v>1376</v>
      </c>
      <c r="B20" s="18"/>
      <c r="C20" s="12" t="s">
        <v>1377</v>
      </c>
      <c r="D20" s="12"/>
      <c r="E20" s="12"/>
      <c r="F20" s="12"/>
      <c r="G20" s="12"/>
      <c r="H20" s="12"/>
      <c r="I20" s="12"/>
      <c r="J20" s="12"/>
      <c r="K20" s="12"/>
      <c r="L20" s="12"/>
    </row>
    <row r="21" customFormat="false" ht="18" hidden="false" customHeight="true" outlineLevel="0" collapsed="false">
      <c r="A21" s="53" t="s">
        <v>1378</v>
      </c>
      <c r="B21" s="53"/>
      <c r="C21" s="12" t="s">
        <v>1379</v>
      </c>
      <c r="D21" s="12"/>
      <c r="E21" s="12"/>
      <c r="F21" s="12"/>
      <c r="G21" s="12"/>
      <c r="H21" s="12"/>
      <c r="I21" s="12"/>
      <c r="J21" s="12"/>
      <c r="K21" s="12"/>
      <c r="L21" s="12"/>
    </row>
    <row r="22" customFormat="false" ht="18" hidden="false" customHeight="true" outlineLevel="0" collapsed="false">
      <c r="A22" s="17" t="s">
        <v>1380</v>
      </c>
      <c r="B22" s="17"/>
      <c r="C22" s="12" t="s">
        <v>1381</v>
      </c>
      <c r="D22" s="12"/>
      <c r="E22" s="12"/>
      <c r="F22" s="12"/>
      <c r="G22" s="12"/>
      <c r="H22" s="12"/>
      <c r="I22" s="12"/>
      <c r="J22" s="12"/>
      <c r="K22" s="12"/>
      <c r="L22" s="12"/>
    </row>
    <row r="23" customFormat="false" ht="18" hidden="false" customHeight="true" outlineLevel="0" collapsed="false"/>
    <row r="24" customFormat="false" ht="21.75" hidden="false" customHeight="true" outlineLevel="0" collapsed="false">
      <c r="A24" s="8" t="s">
        <v>1382</v>
      </c>
      <c r="B24" s="8"/>
      <c r="C24" s="8"/>
      <c r="D24" s="8"/>
      <c r="E24" s="8"/>
      <c r="F24" s="8"/>
      <c r="G24" s="8"/>
      <c r="H24" s="8"/>
      <c r="I24" s="8"/>
      <c r="J24" s="8"/>
      <c r="K24" s="8"/>
      <c r="L24" s="8"/>
      <c r="M24" s="8"/>
      <c r="N24" s="8"/>
      <c r="O24" s="8"/>
      <c r="P24" s="8"/>
    </row>
    <row r="25" customFormat="false" ht="30.75" hidden="false" customHeight="true" outlineLevel="0" collapsed="false">
      <c r="A25" s="9" t="s">
        <v>1383</v>
      </c>
      <c r="B25" s="9" t="s">
        <v>1154</v>
      </c>
      <c r="C25" s="9" t="s">
        <v>1155</v>
      </c>
      <c r="D25" s="9" t="s">
        <v>1335</v>
      </c>
      <c r="E25" s="9" t="s">
        <v>400</v>
      </c>
      <c r="F25" s="9" t="s">
        <v>1384</v>
      </c>
      <c r="G25" s="9" t="s">
        <v>1385</v>
      </c>
      <c r="H25" s="9" t="s">
        <v>1386</v>
      </c>
      <c r="I25" s="9" t="s">
        <v>1387</v>
      </c>
      <c r="J25" s="9" t="s">
        <v>1388</v>
      </c>
      <c r="K25" s="9" t="s">
        <v>1163</v>
      </c>
      <c r="L25" s="9" t="s">
        <v>1389</v>
      </c>
      <c r="M25" s="9" t="s">
        <v>1339</v>
      </c>
      <c r="N25" s="9" t="s">
        <v>1166</v>
      </c>
      <c r="O25" s="9" t="s">
        <v>1390</v>
      </c>
      <c r="P25" s="9" t="s">
        <v>1391</v>
      </c>
    </row>
    <row r="26" customFormat="false" ht="43.5" hidden="false" customHeight="true" outlineLevel="0" collapsed="false">
      <c r="A26" s="13" t="s">
        <v>1269</v>
      </c>
      <c r="B26" s="12" t="s">
        <v>1259</v>
      </c>
      <c r="C26" s="12" t="s">
        <v>1260</v>
      </c>
      <c r="D26" s="12" t="s">
        <v>1367</v>
      </c>
      <c r="E26" s="35" t="s">
        <v>57</v>
      </c>
      <c r="F26" s="12" t="s">
        <v>1392</v>
      </c>
      <c r="G26" s="12" t="s">
        <v>1393</v>
      </c>
      <c r="H26" s="12" t="s">
        <v>1394</v>
      </c>
      <c r="I26" s="12" t="s">
        <v>1395</v>
      </c>
      <c r="J26" s="12" t="s">
        <v>1396</v>
      </c>
      <c r="K26" s="30" t="s">
        <v>1266</v>
      </c>
      <c r="L26" s="30" t="s">
        <v>1267</v>
      </c>
      <c r="M26" s="12" t="s">
        <v>1397</v>
      </c>
      <c r="N26" s="32" t="s">
        <v>1374</v>
      </c>
      <c r="O26" s="12" t="s">
        <v>1398</v>
      </c>
      <c r="P26" s="12" t="s">
        <v>196</v>
      </c>
    </row>
    <row r="27" customFormat="false" ht="43.5" hidden="false" customHeight="true" outlineLevel="0" collapsed="false">
      <c r="A27" s="13" t="s">
        <v>1399</v>
      </c>
      <c r="B27" s="12" t="s">
        <v>1211</v>
      </c>
      <c r="C27" s="12" t="s">
        <v>1212</v>
      </c>
      <c r="D27" s="12" t="s">
        <v>1362</v>
      </c>
      <c r="E27" s="32" t="s">
        <v>55</v>
      </c>
      <c r="F27" s="12" t="s">
        <v>1400</v>
      </c>
      <c r="G27" s="12" t="s">
        <v>1401</v>
      </c>
      <c r="H27" s="12" t="s">
        <v>1402</v>
      </c>
      <c r="I27" s="12" t="s">
        <v>1395</v>
      </c>
      <c r="J27" s="12" t="s">
        <v>1364</v>
      </c>
      <c r="K27" s="30" t="s">
        <v>1282</v>
      </c>
      <c r="L27" s="30" t="s">
        <v>1403</v>
      </c>
      <c r="M27" s="12" t="s">
        <v>1404</v>
      </c>
      <c r="N27" s="54" t="s">
        <v>1378</v>
      </c>
      <c r="O27" s="12" t="s">
        <v>1405</v>
      </c>
      <c r="P27" s="12" t="s">
        <v>196</v>
      </c>
    </row>
    <row r="28" customFormat="false" ht="43.5" hidden="false" customHeight="true" outlineLevel="0" collapsed="false">
      <c r="A28" s="13" t="s">
        <v>1406</v>
      </c>
      <c r="B28" s="12" t="s">
        <v>1289</v>
      </c>
      <c r="C28" s="12" t="s">
        <v>1407</v>
      </c>
      <c r="D28" s="12" t="s">
        <v>1345</v>
      </c>
      <c r="E28" s="34" t="s">
        <v>56</v>
      </c>
      <c r="F28" s="12" t="s">
        <v>1408</v>
      </c>
      <c r="G28" s="12" t="s">
        <v>1409</v>
      </c>
      <c r="H28" s="12" t="s">
        <v>1410</v>
      </c>
      <c r="I28" s="12" t="s">
        <v>1411</v>
      </c>
      <c r="J28" s="12" t="s">
        <v>1412</v>
      </c>
      <c r="K28" s="30" t="s">
        <v>1413</v>
      </c>
      <c r="L28" s="30" t="s">
        <v>1414</v>
      </c>
      <c r="M28" s="12" t="s">
        <v>1415</v>
      </c>
      <c r="N28" s="29" t="s">
        <v>406</v>
      </c>
      <c r="O28" s="12" t="s">
        <v>1416</v>
      </c>
      <c r="P28" s="12" t="s">
        <v>196</v>
      </c>
    </row>
    <row r="29" customFormat="false" ht="30.75" hidden="false" customHeight="true" outlineLevel="0" collapsed="false">
      <c r="A29" s="13" t="s">
        <v>1417</v>
      </c>
      <c r="B29" s="12" t="s">
        <v>1318</v>
      </c>
      <c r="C29" s="12" t="s">
        <v>1418</v>
      </c>
      <c r="D29" s="12" t="s">
        <v>1357</v>
      </c>
      <c r="E29" s="32" t="s">
        <v>55</v>
      </c>
      <c r="F29" s="12" t="s">
        <v>1419</v>
      </c>
      <c r="G29" s="12" t="s">
        <v>1420</v>
      </c>
      <c r="H29" s="12" t="s">
        <v>1421</v>
      </c>
      <c r="I29" s="12" t="s">
        <v>1422</v>
      </c>
      <c r="J29" s="12" t="s">
        <v>1359</v>
      </c>
      <c r="K29" s="30" t="s">
        <v>1423</v>
      </c>
      <c r="L29" s="30" t="s">
        <v>1424</v>
      </c>
      <c r="M29" s="12" t="s">
        <v>1285</v>
      </c>
      <c r="N29" s="54" t="s">
        <v>1378</v>
      </c>
      <c r="O29" s="12" t="s">
        <v>1425</v>
      </c>
      <c r="P29" s="12" t="s">
        <v>196</v>
      </c>
    </row>
    <row r="30" customFormat="false" ht="18" hidden="false" customHeight="true" outlineLevel="0" collapsed="false">
      <c r="A30" s="12"/>
      <c r="B30" s="12"/>
      <c r="C30" s="12"/>
      <c r="D30" s="12"/>
      <c r="E30" s="12"/>
      <c r="F30" s="12"/>
      <c r="G30" s="12"/>
      <c r="H30" s="12"/>
      <c r="I30" s="12"/>
      <c r="J30" s="12"/>
      <c r="K30" s="12"/>
      <c r="L30" s="12"/>
      <c r="M30" s="12"/>
      <c r="N30" s="12"/>
      <c r="O30" s="12"/>
      <c r="P30" s="12"/>
    </row>
    <row r="31" customFormat="false" ht="18" hidden="false" customHeight="true" outlineLevel="0" collapsed="false">
      <c r="A31" s="12"/>
      <c r="B31" s="12"/>
      <c r="C31" s="12"/>
      <c r="D31" s="12"/>
      <c r="E31" s="12"/>
      <c r="F31" s="12"/>
      <c r="G31" s="12"/>
      <c r="H31" s="12"/>
      <c r="I31" s="12"/>
      <c r="J31" s="12"/>
      <c r="K31" s="12"/>
      <c r="L31" s="12"/>
      <c r="M31" s="12"/>
      <c r="N31" s="12"/>
      <c r="O31" s="12"/>
      <c r="P31" s="12"/>
    </row>
    <row r="32" customFormat="false" ht="18" hidden="false" customHeight="true" outlineLevel="0" collapsed="false">
      <c r="A32" s="12"/>
      <c r="B32" s="12"/>
      <c r="C32" s="12"/>
      <c r="D32" s="12"/>
      <c r="E32" s="12"/>
      <c r="F32" s="12"/>
      <c r="G32" s="12"/>
      <c r="H32" s="12"/>
      <c r="I32" s="12"/>
      <c r="J32" s="12"/>
      <c r="K32" s="12"/>
      <c r="L32" s="12"/>
      <c r="M32" s="12"/>
      <c r="N32" s="12"/>
      <c r="O32" s="12"/>
      <c r="P32" s="12"/>
    </row>
    <row r="33" customFormat="false" ht="18" hidden="false" customHeight="true" outlineLevel="0" collapsed="false">
      <c r="A33" s="12"/>
      <c r="B33" s="12"/>
      <c r="C33" s="12"/>
      <c r="D33" s="12"/>
      <c r="E33" s="12"/>
      <c r="F33" s="12"/>
      <c r="G33" s="12"/>
      <c r="H33" s="12"/>
      <c r="I33" s="12"/>
      <c r="J33" s="12"/>
      <c r="K33" s="12"/>
      <c r="L33" s="12"/>
      <c r="M33" s="12"/>
      <c r="N33" s="12"/>
      <c r="O33" s="12"/>
      <c r="P33" s="12"/>
    </row>
    <row r="34" customFormat="false" ht="18" hidden="false" customHeight="true" outlineLevel="0" collapsed="false">
      <c r="A34" s="12"/>
      <c r="B34" s="12"/>
      <c r="C34" s="12"/>
      <c r="D34" s="12"/>
      <c r="E34" s="12"/>
      <c r="F34" s="12"/>
      <c r="G34" s="12"/>
      <c r="H34" s="12"/>
      <c r="I34" s="12"/>
      <c r="J34" s="12"/>
      <c r="K34" s="12"/>
      <c r="L34" s="12"/>
      <c r="M34" s="12"/>
      <c r="N34" s="12"/>
      <c r="O34" s="12"/>
      <c r="P34" s="12"/>
    </row>
    <row r="35" customFormat="false" ht="18" hidden="false" customHeight="true" outlineLevel="0" collapsed="false">
      <c r="A35" s="12"/>
      <c r="B35" s="12"/>
      <c r="C35" s="12"/>
      <c r="D35" s="12"/>
      <c r="E35" s="12"/>
      <c r="F35" s="12"/>
      <c r="G35" s="12"/>
      <c r="H35" s="12"/>
      <c r="I35" s="12"/>
      <c r="J35" s="12"/>
      <c r="K35" s="12"/>
      <c r="L35" s="12"/>
      <c r="M35" s="12"/>
      <c r="N35" s="12"/>
      <c r="O35" s="12"/>
      <c r="P35" s="12"/>
    </row>
    <row r="36" customFormat="false" ht="18" hidden="false" customHeight="true" outlineLevel="0" collapsed="false">
      <c r="A36" s="12"/>
      <c r="B36" s="12"/>
      <c r="C36" s="12"/>
      <c r="D36" s="12"/>
      <c r="E36" s="12"/>
      <c r="F36" s="12"/>
      <c r="G36" s="12"/>
      <c r="H36" s="12"/>
      <c r="I36" s="12"/>
      <c r="J36" s="12"/>
      <c r="K36" s="12"/>
      <c r="L36" s="12"/>
      <c r="M36" s="12"/>
      <c r="N36" s="12"/>
      <c r="O36" s="12"/>
      <c r="P36" s="12"/>
    </row>
    <row r="37" customFormat="false" ht="18" hidden="false" customHeight="true" outlineLevel="0" collapsed="false">
      <c r="A37" s="12"/>
      <c r="B37" s="12"/>
      <c r="C37" s="12"/>
      <c r="D37" s="12"/>
      <c r="E37" s="12"/>
      <c r="F37" s="12"/>
      <c r="G37" s="12"/>
      <c r="H37" s="12"/>
      <c r="I37" s="12"/>
      <c r="J37" s="12"/>
      <c r="K37" s="12"/>
      <c r="L37" s="12"/>
      <c r="M37" s="12"/>
      <c r="N37" s="12"/>
      <c r="O37" s="12"/>
      <c r="P37" s="12"/>
    </row>
    <row r="38" customFormat="false" ht="18" hidden="false" customHeight="true" outlineLevel="0" collapsed="false"/>
    <row r="39" customFormat="false" ht="21.75" hidden="false" customHeight="true" outlineLevel="0" collapsed="false">
      <c r="A39" s="8" t="s">
        <v>1426</v>
      </c>
      <c r="B39" s="8"/>
      <c r="C39" s="8"/>
      <c r="D39" s="8"/>
      <c r="E39" s="8"/>
      <c r="F39" s="8"/>
      <c r="G39" s="8"/>
      <c r="H39" s="8"/>
      <c r="I39" s="8"/>
      <c r="J39" s="8"/>
      <c r="K39" s="8"/>
      <c r="L39" s="8"/>
      <c r="M39" s="8"/>
      <c r="N39" s="8"/>
      <c r="O39" s="8"/>
      <c r="P39" s="8"/>
    </row>
    <row r="40" customFormat="false" ht="18" hidden="false" customHeight="true" outlineLevel="0" collapsed="false">
      <c r="A40" s="9" t="s">
        <v>32</v>
      </c>
      <c r="B40" s="9" t="s">
        <v>1427</v>
      </c>
      <c r="C40" s="9"/>
      <c r="D40" s="9"/>
      <c r="E40" s="9"/>
      <c r="F40" s="9"/>
      <c r="G40" s="9" t="s">
        <v>1428</v>
      </c>
      <c r="H40" s="9"/>
      <c r="I40" s="9" t="s">
        <v>1429</v>
      </c>
      <c r="J40" s="9"/>
    </row>
    <row r="41" customFormat="false" ht="18" hidden="false" customHeight="true" outlineLevel="0" collapsed="false">
      <c r="A41" s="30" t="s">
        <v>1430</v>
      </c>
      <c r="B41" s="12" t="s">
        <v>1431</v>
      </c>
      <c r="C41" s="12"/>
      <c r="D41" s="12"/>
      <c r="E41" s="12"/>
      <c r="F41" s="12"/>
      <c r="G41" s="12" t="s">
        <v>1432</v>
      </c>
      <c r="H41" s="12"/>
      <c r="I41" s="12" t="s">
        <v>1433</v>
      </c>
      <c r="J41" s="12"/>
    </row>
    <row r="42" customFormat="false" ht="18" hidden="false" customHeight="true" outlineLevel="0" collapsed="false">
      <c r="A42" s="30" t="s">
        <v>1434</v>
      </c>
      <c r="B42" s="12" t="s">
        <v>1435</v>
      </c>
      <c r="C42" s="12"/>
      <c r="D42" s="12"/>
      <c r="E42" s="12"/>
      <c r="F42" s="12"/>
      <c r="G42" s="12" t="s">
        <v>1436</v>
      </c>
      <c r="H42" s="12"/>
      <c r="I42" s="12" t="s">
        <v>1437</v>
      </c>
      <c r="J42" s="12"/>
    </row>
    <row r="43" customFormat="false" ht="18" hidden="false" customHeight="true" outlineLevel="0" collapsed="false">
      <c r="A43" s="30" t="s">
        <v>1438</v>
      </c>
      <c r="B43" s="12" t="s">
        <v>1439</v>
      </c>
      <c r="C43" s="12"/>
      <c r="D43" s="12"/>
      <c r="E43" s="12"/>
      <c r="F43" s="12"/>
      <c r="G43" s="12" t="s">
        <v>1436</v>
      </c>
      <c r="H43" s="12"/>
      <c r="I43" s="12" t="s">
        <v>1440</v>
      </c>
      <c r="J43" s="12"/>
    </row>
    <row r="44" customFormat="false" ht="18" hidden="false" customHeight="true" outlineLevel="0" collapsed="false">
      <c r="A44" s="30" t="s">
        <v>349</v>
      </c>
      <c r="B44" s="12" t="s">
        <v>1441</v>
      </c>
      <c r="C44" s="12"/>
      <c r="D44" s="12"/>
      <c r="E44" s="12"/>
      <c r="F44" s="12"/>
      <c r="G44" s="12" t="s">
        <v>1371</v>
      </c>
      <c r="H44" s="12"/>
      <c r="I44" s="12" t="s">
        <v>1442</v>
      </c>
      <c r="J44" s="12"/>
    </row>
    <row r="45" customFormat="false" ht="18" hidden="false" customHeight="true" outlineLevel="0" collapsed="false">
      <c r="A45" s="30" t="s">
        <v>1443</v>
      </c>
      <c r="B45" s="12" t="s">
        <v>1444</v>
      </c>
      <c r="C45" s="12"/>
      <c r="D45" s="12"/>
      <c r="E45" s="12"/>
      <c r="F45" s="12"/>
      <c r="G45" s="12" t="s">
        <v>1445</v>
      </c>
      <c r="H45" s="12"/>
      <c r="I45" s="12" t="s">
        <v>1446</v>
      </c>
      <c r="J45" s="12"/>
    </row>
    <row r="46" customFormat="false" ht="18" hidden="false" customHeight="true" outlineLevel="0" collapsed="false">
      <c r="A46" s="30" t="s">
        <v>1447</v>
      </c>
      <c r="B46" s="12" t="s">
        <v>1448</v>
      </c>
      <c r="C46" s="12"/>
      <c r="D46" s="12"/>
      <c r="E46" s="12"/>
      <c r="F46" s="12"/>
      <c r="G46" s="12" t="s">
        <v>1445</v>
      </c>
      <c r="H46" s="12"/>
      <c r="I46" s="12" t="s">
        <v>1449</v>
      </c>
      <c r="J46" s="12"/>
    </row>
    <row r="47" customFormat="false" ht="18" hidden="false" customHeight="true" outlineLevel="0" collapsed="false"/>
    <row r="48" customFormat="false" ht="21.75" hidden="false" customHeight="true" outlineLevel="0" collapsed="false">
      <c r="A48" s="8" t="s">
        <v>1450</v>
      </c>
      <c r="B48" s="8"/>
      <c r="C48" s="8"/>
      <c r="D48" s="8"/>
      <c r="E48" s="8"/>
      <c r="F48" s="8"/>
      <c r="G48" s="8"/>
      <c r="H48" s="8"/>
      <c r="I48" s="8"/>
      <c r="J48" s="8"/>
      <c r="K48" s="8"/>
      <c r="L48" s="8"/>
      <c r="M48" s="8"/>
      <c r="N48" s="8"/>
      <c r="O48" s="8"/>
      <c r="P48" s="8"/>
    </row>
    <row r="49" customFormat="false" ht="18" hidden="false" customHeight="true" outlineLevel="0" collapsed="false">
      <c r="A49" s="13" t="s">
        <v>1451</v>
      </c>
      <c r="B49" s="13"/>
      <c r="C49" s="12" t="s">
        <v>1452</v>
      </c>
      <c r="D49" s="12"/>
      <c r="E49" s="12"/>
      <c r="F49" s="12"/>
      <c r="G49" s="12"/>
      <c r="H49" s="12"/>
      <c r="I49" s="12"/>
      <c r="J49" s="12"/>
      <c r="K49" s="12"/>
      <c r="L49" s="12"/>
    </row>
    <row r="50" customFormat="false" ht="18" hidden="false" customHeight="true" outlineLevel="0" collapsed="false">
      <c r="A50" s="13" t="s">
        <v>1453</v>
      </c>
      <c r="B50" s="13"/>
      <c r="C50" s="12" t="s">
        <v>1454</v>
      </c>
      <c r="D50" s="12"/>
      <c r="E50" s="12"/>
      <c r="F50" s="12"/>
      <c r="G50" s="12"/>
      <c r="H50" s="12"/>
      <c r="I50" s="12"/>
      <c r="J50" s="12"/>
      <c r="K50" s="12"/>
      <c r="L50" s="12"/>
    </row>
    <row r="51" customFormat="false" ht="18" hidden="false" customHeight="true" outlineLevel="0" collapsed="false">
      <c r="A51" s="13" t="s">
        <v>1455</v>
      </c>
      <c r="B51" s="13"/>
      <c r="C51" s="12" t="s">
        <v>1456</v>
      </c>
      <c r="D51" s="12"/>
      <c r="E51" s="12"/>
      <c r="F51" s="12"/>
      <c r="G51" s="12"/>
      <c r="H51" s="12"/>
      <c r="I51" s="12"/>
      <c r="J51" s="12"/>
      <c r="K51" s="12"/>
      <c r="L51" s="12"/>
    </row>
    <row r="52" customFormat="false" ht="18" hidden="false" customHeight="true" outlineLevel="0" collapsed="false">
      <c r="A52" s="13" t="s">
        <v>1457</v>
      </c>
      <c r="B52" s="13"/>
      <c r="C52" s="12" t="s">
        <v>1458</v>
      </c>
      <c r="D52" s="12"/>
      <c r="E52" s="12"/>
      <c r="F52" s="12"/>
      <c r="G52" s="12"/>
      <c r="H52" s="12"/>
      <c r="I52" s="12"/>
      <c r="J52" s="12"/>
      <c r="K52" s="12"/>
      <c r="L52" s="12"/>
    </row>
  </sheetData>
  <autoFilter ref="A25:P37"/>
  <mergeCells count="88">
    <mergeCell ref="A1:P1"/>
    <mergeCell ref="A3:P3"/>
    <mergeCell ref="A6:P6"/>
    <mergeCell ref="A7:B7"/>
    <mergeCell ref="C7:E7"/>
    <mergeCell ref="F7:H7"/>
    <mergeCell ref="I7:J7"/>
    <mergeCell ref="K7:L7"/>
    <mergeCell ref="A8:B8"/>
    <mergeCell ref="C8:E8"/>
    <mergeCell ref="F8:H8"/>
    <mergeCell ref="I8:J8"/>
    <mergeCell ref="K8:L8"/>
    <mergeCell ref="A9:B9"/>
    <mergeCell ref="C9:E9"/>
    <mergeCell ref="F9:H9"/>
    <mergeCell ref="I9:J9"/>
    <mergeCell ref="K9:L9"/>
    <mergeCell ref="A10:B10"/>
    <mergeCell ref="C10:E10"/>
    <mergeCell ref="F10:H10"/>
    <mergeCell ref="I10:J10"/>
    <mergeCell ref="K10:L10"/>
    <mergeCell ref="A11:B11"/>
    <mergeCell ref="C11:E11"/>
    <mergeCell ref="F11:H11"/>
    <mergeCell ref="I11:J11"/>
    <mergeCell ref="K11:L11"/>
    <mergeCell ref="A12:B12"/>
    <mergeCell ref="C12:E12"/>
    <mergeCell ref="F12:H12"/>
    <mergeCell ref="I12:J12"/>
    <mergeCell ref="K12:L12"/>
    <mergeCell ref="A13:B13"/>
    <mergeCell ref="C13:E13"/>
    <mergeCell ref="F13:H13"/>
    <mergeCell ref="I13:J13"/>
    <mergeCell ref="K13:L13"/>
    <mergeCell ref="A14:B14"/>
    <mergeCell ref="C14:E14"/>
    <mergeCell ref="F14:H14"/>
    <mergeCell ref="I14:J14"/>
    <mergeCell ref="K14:L14"/>
    <mergeCell ref="A15:B15"/>
    <mergeCell ref="C15:L15"/>
    <mergeCell ref="A17:P17"/>
    <mergeCell ref="A18:B18"/>
    <mergeCell ref="C18:L18"/>
    <mergeCell ref="A19:B19"/>
    <mergeCell ref="C19:L19"/>
    <mergeCell ref="A20:B20"/>
    <mergeCell ref="C20:L20"/>
    <mergeCell ref="A21:B21"/>
    <mergeCell ref="C21:L21"/>
    <mergeCell ref="A22:B22"/>
    <mergeCell ref="C22:L22"/>
    <mergeCell ref="A24:P24"/>
    <mergeCell ref="A39:P39"/>
    <mergeCell ref="B40:F40"/>
    <mergeCell ref="G40:H40"/>
    <mergeCell ref="I40:J40"/>
    <mergeCell ref="B41:F41"/>
    <mergeCell ref="G41:H41"/>
    <mergeCell ref="I41:J41"/>
    <mergeCell ref="B42:F42"/>
    <mergeCell ref="G42:H42"/>
    <mergeCell ref="I42:J42"/>
    <mergeCell ref="B43:F43"/>
    <mergeCell ref="G43:H43"/>
    <mergeCell ref="I43:J43"/>
    <mergeCell ref="B44:F44"/>
    <mergeCell ref="G44:H44"/>
    <mergeCell ref="I44:J44"/>
    <mergeCell ref="B45:F45"/>
    <mergeCell ref="G45:H45"/>
    <mergeCell ref="I45:J45"/>
    <mergeCell ref="B46:F46"/>
    <mergeCell ref="G46:H46"/>
    <mergeCell ref="I46:J46"/>
    <mergeCell ref="A48:P48"/>
    <mergeCell ref="A49:B49"/>
    <mergeCell ref="C49:L49"/>
    <mergeCell ref="A50:B50"/>
    <mergeCell ref="C50:L50"/>
    <mergeCell ref="A51:B51"/>
    <mergeCell ref="C51:L51"/>
    <mergeCell ref="A52:B52"/>
    <mergeCell ref="C52:L52"/>
  </mergeCells>
  <dataValidations count="3">
    <dataValidation allowBlank="true" error="Pick one of the listed values" errorStyle="stop" errorTitle="Pick from the list" operator="between" showDropDown="false" showErrorMessage="true" showInputMessage="false" sqref="D26:D37" type="list">
      <formula1>"Severe tool,Guardrail bypass,Vendor risk,Compliance gap,Emergency use,Model version,Pilot (agentic or internal build)"</formula1>
      <formula2>0</formula2>
    </dataValidation>
    <dataValidation allowBlank="true" error="Pick one of the listed values" errorStyle="stop" errorTitle="Pick from the list" operator="between" showDropDown="false" showErrorMessage="true" showInputMessage="false" sqref="E26:E37" type="list">
      <formula1>"Low,Medium,High,Severe"</formula1>
      <formula2>0</formula2>
    </dataValidation>
    <dataValidation allowBlank="true" error="Pick one of the listed values" errorStyle="stop" errorTitle="Pick from the list" operator="between" showDropDown="false" showErrorMessage="true" showInputMessage="false" sqref="N26:N37" type="list">
      <formula1>"Active,Renewal due,Expired,Closed,Rejected"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1" topLeftCell="C22" activePane="bottomRight" state="frozen"/>
      <selection pane="topLeft" activeCell="A1" activeCellId="0" sqref="A1"/>
      <selection pane="topRight" activeCell="C1" activeCellId="0" sqref="C1"/>
      <selection pane="bottomLeft" activeCell="A22" activeCellId="0" sqref="A2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22"/>
    <col collapsed="false" customWidth="true" hidden="false" outlineLevel="0" max="4" min="4" style="0" width="12"/>
    <col collapsed="false" customWidth="true" hidden="false" outlineLevel="0" max="5" min="5" style="0" width="16"/>
    <col collapsed="false" customWidth="true" hidden="false" outlineLevel="0" max="8" min="6" style="0" width="26"/>
    <col collapsed="false" customWidth="true" hidden="false" outlineLevel="0" max="9" min="9" style="0" width="60"/>
    <col collapsed="false" customWidth="true" hidden="false" outlineLevel="0" max="10" min="10" style="0" width="34"/>
  </cols>
  <sheetData>
    <row r="1" customFormat="false" ht="27.75" hidden="false" customHeight="true" outlineLevel="0" collapsed="false">
      <c r="A1" s="1" t="s">
        <v>1459</v>
      </c>
      <c r="B1" s="1"/>
      <c r="C1" s="1"/>
      <c r="D1" s="1"/>
      <c r="E1" s="1"/>
      <c r="F1" s="1"/>
      <c r="G1" s="1"/>
      <c r="H1" s="1"/>
      <c r="I1" s="1"/>
      <c r="J1" s="1"/>
    </row>
    <row r="2" customFormat="false" ht="18" hidden="false" customHeight="true" outlineLevel="0" collapsed="false"/>
    <row r="3" customFormat="false" ht="30.75" hidden="false" customHeight="true" outlineLevel="0" collapsed="false">
      <c r="A3" s="2" t="s">
        <v>1460</v>
      </c>
      <c r="B3" s="2"/>
      <c r="C3" s="2"/>
      <c r="D3" s="2"/>
      <c r="E3" s="2"/>
      <c r="F3" s="2"/>
      <c r="G3" s="2"/>
      <c r="H3" s="2"/>
      <c r="I3" s="2"/>
      <c r="J3" s="2"/>
    </row>
    <row r="4" customFormat="false" ht="18" hidden="false" customHeight="true" outlineLevel="0" collapsed="false"/>
    <row r="5" customFormat="false" ht="18" hidden="false" customHeight="true" outlineLevel="0" collapsed="false"/>
    <row r="6" customFormat="false" ht="21.75" hidden="false" customHeight="true" outlineLevel="0" collapsed="false">
      <c r="A6" s="8" t="s">
        <v>668</v>
      </c>
      <c r="B6" s="8"/>
      <c r="C6" s="8"/>
      <c r="D6" s="8"/>
      <c r="E6" s="8"/>
      <c r="F6" s="8"/>
      <c r="G6" s="8"/>
      <c r="H6" s="8"/>
      <c r="I6" s="8"/>
      <c r="J6" s="8"/>
    </row>
    <row r="7" customFormat="false" ht="18" hidden="false" customHeight="true" outlineLevel="0" collapsed="false">
      <c r="A7" s="2" t="s">
        <v>1461</v>
      </c>
      <c r="B7" s="2"/>
      <c r="C7" s="2"/>
      <c r="D7" s="2"/>
      <c r="E7" s="2"/>
      <c r="F7" s="2"/>
      <c r="G7" s="2"/>
      <c r="H7" s="2"/>
      <c r="I7" s="2"/>
      <c r="J7" s="2"/>
    </row>
    <row r="8" customFormat="false" ht="18" hidden="false" customHeight="true" outlineLevel="0" collapsed="false">
      <c r="A8" s="9" t="s">
        <v>669</v>
      </c>
      <c r="B8" s="9"/>
      <c r="C8" s="9" t="s">
        <v>670</v>
      </c>
      <c r="D8" s="9"/>
      <c r="E8" s="9"/>
      <c r="F8" s="9"/>
      <c r="G8" s="9" t="s">
        <v>1462</v>
      </c>
      <c r="H8" s="9" t="s">
        <v>1463</v>
      </c>
      <c r="I8" s="9"/>
      <c r="J8" s="9"/>
    </row>
    <row r="9" customFormat="false" ht="18" hidden="false" customHeight="true" outlineLevel="0" collapsed="false">
      <c r="A9" s="36" t="s">
        <v>705</v>
      </c>
      <c r="B9" s="36"/>
      <c r="C9" s="12" t="s">
        <v>673</v>
      </c>
      <c r="D9" s="12"/>
      <c r="E9" s="12"/>
      <c r="F9" s="12"/>
      <c r="G9" s="30" t="s">
        <v>1464</v>
      </c>
      <c r="H9" s="15" t="n">
        <f aca="false">'Org Profile'!C63</f>
        <v>0</v>
      </c>
      <c r="I9" s="15"/>
      <c r="J9" s="15"/>
    </row>
    <row r="10" customFormat="false" ht="30.75" hidden="false" customHeight="true" outlineLevel="0" collapsed="false">
      <c r="A10" s="37" t="s">
        <v>745</v>
      </c>
      <c r="B10" s="37"/>
      <c r="C10" s="12" t="s">
        <v>676</v>
      </c>
      <c r="D10" s="12"/>
      <c r="E10" s="12"/>
      <c r="F10" s="12"/>
      <c r="G10" s="30" t="s">
        <v>1465</v>
      </c>
      <c r="H10" s="15" t="n">
        <f aca="false">'Org Profile'!C64</f>
        <v>0</v>
      </c>
      <c r="I10" s="15"/>
      <c r="J10" s="15"/>
    </row>
    <row r="11" customFormat="false" ht="30.75" hidden="false" customHeight="true" outlineLevel="0" collapsed="false">
      <c r="A11" s="38" t="s">
        <v>791</v>
      </c>
      <c r="B11" s="38"/>
      <c r="C11" s="12" t="s">
        <v>679</v>
      </c>
      <c r="D11" s="12"/>
      <c r="E11" s="12"/>
      <c r="F11" s="12"/>
      <c r="G11" s="30" t="s">
        <v>1466</v>
      </c>
      <c r="H11" s="15" t="n">
        <f aca="false">'Org Profile'!C65</f>
        <v>0</v>
      </c>
      <c r="I11" s="15"/>
      <c r="J11" s="15"/>
    </row>
    <row r="12" customFormat="false" ht="30.75" hidden="false" customHeight="true" outlineLevel="0" collapsed="false">
      <c r="A12" s="39" t="s">
        <v>812</v>
      </c>
      <c r="B12" s="39"/>
      <c r="C12" s="12" t="s">
        <v>682</v>
      </c>
      <c r="D12" s="12"/>
      <c r="E12" s="12"/>
      <c r="F12" s="12"/>
      <c r="G12" s="30" t="s">
        <v>1467</v>
      </c>
      <c r="H12" s="15" t="n">
        <f aca="false">'Org Profile'!C66</f>
        <v>0</v>
      </c>
      <c r="I12" s="15"/>
      <c r="J12" s="15"/>
    </row>
    <row r="13" customFormat="false" ht="30.75" hidden="false" customHeight="true" outlineLevel="0" collapsed="false">
      <c r="A13" s="40" t="s">
        <v>852</v>
      </c>
      <c r="B13" s="40"/>
      <c r="C13" s="12" t="s">
        <v>685</v>
      </c>
      <c r="D13" s="12"/>
      <c r="E13" s="12"/>
      <c r="F13" s="12"/>
      <c r="G13" s="30" t="s">
        <v>1468</v>
      </c>
      <c r="H13" s="15" t="n">
        <f aca="false">'Org Profile'!C67</f>
        <v>0</v>
      </c>
      <c r="I13" s="15"/>
      <c r="J13" s="15"/>
    </row>
    <row r="14" customFormat="false" ht="30.75" hidden="false" customHeight="true" outlineLevel="0" collapsed="false">
      <c r="A14" s="41" t="s">
        <v>901</v>
      </c>
      <c r="B14" s="41"/>
      <c r="C14" s="12" t="s">
        <v>688</v>
      </c>
      <c r="D14" s="12"/>
      <c r="E14" s="12"/>
      <c r="F14" s="12"/>
      <c r="G14" s="30" t="s">
        <v>1469</v>
      </c>
      <c r="H14" s="15" t="n">
        <f aca="false">'Org Profile'!C68</f>
        <v>0</v>
      </c>
      <c r="I14" s="15"/>
      <c r="J14" s="15"/>
    </row>
    <row r="15" customFormat="false" ht="43.5" hidden="false" customHeight="true" outlineLevel="0" collapsed="false">
      <c r="A15" s="42" t="s">
        <v>962</v>
      </c>
      <c r="B15" s="42"/>
      <c r="C15" s="12" t="s">
        <v>691</v>
      </c>
      <c r="D15" s="12"/>
      <c r="E15" s="12"/>
      <c r="F15" s="12"/>
      <c r="G15" s="30" t="s">
        <v>1470</v>
      </c>
      <c r="H15" s="15" t="n">
        <f aca="false">'Org Profile'!C69</f>
        <v>0</v>
      </c>
      <c r="I15" s="15"/>
      <c r="J15" s="15"/>
    </row>
    <row r="16" customFormat="false" ht="18" hidden="false" customHeight="true" outlineLevel="0" collapsed="false"/>
    <row r="17" customFormat="false" ht="21.75" hidden="false" customHeight="true" outlineLevel="0" collapsed="false">
      <c r="A17" s="8" t="s">
        <v>1471</v>
      </c>
      <c r="B17" s="8"/>
      <c r="C17" s="8"/>
      <c r="D17" s="8"/>
      <c r="E17" s="8"/>
      <c r="F17" s="8"/>
      <c r="G17" s="8"/>
      <c r="H17" s="8"/>
      <c r="I17" s="8"/>
      <c r="J17" s="8"/>
    </row>
    <row r="18" customFormat="false" ht="57" hidden="false" customHeight="true" outlineLevel="0" collapsed="false">
      <c r="A18" s="2" t="s">
        <v>1472</v>
      </c>
      <c r="B18" s="2"/>
      <c r="C18" s="2"/>
      <c r="D18" s="2"/>
      <c r="E18" s="2"/>
      <c r="F18" s="2"/>
      <c r="G18" s="2"/>
      <c r="H18" s="2"/>
      <c r="I18" s="2"/>
      <c r="J18" s="2"/>
    </row>
    <row r="19" customFormat="false" ht="18" hidden="false" customHeight="true" outlineLevel="0" collapsed="false"/>
    <row r="20" customFormat="false" ht="21.75" hidden="false" customHeight="true" outlineLevel="0" collapsed="false">
      <c r="A20" s="8" t="s">
        <v>1473</v>
      </c>
      <c r="B20" s="8"/>
      <c r="C20" s="8"/>
      <c r="D20" s="8"/>
      <c r="E20" s="8"/>
      <c r="F20" s="8"/>
      <c r="G20" s="8"/>
      <c r="H20" s="8"/>
      <c r="I20" s="8"/>
      <c r="J20" s="8"/>
    </row>
    <row r="21" customFormat="false" ht="18" hidden="false" customHeight="true" outlineLevel="0" collapsed="false">
      <c r="A21" s="21" t="s">
        <v>1474</v>
      </c>
      <c r="B21" s="9" t="s">
        <v>1475</v>
      </c>
      <c r="C21" s="9" t="s">
        <v>1166</v>
      </c>
      <c r="D21" s="9" t="s">
        <v>1476</v>
      </c>
      <c r="E21" s="9" t="s">
        <v>1477</v>
      </c>
      <c r="F21" s="9" t="s">
        <v>1478</v>
      </c>
      <c r="G21" s="9" t="s">
        <v>1479</v>
      </c>
      <c r="H21" s="9" t="s">
        <v>1480</v>
      </c>
      <c r="I21" s="9" t="s">
        <v>1481</v>
      </c>
      <c r="J21" s="9" t="s">
        <v>1482</v>
      </c>
    </row>
    <row r="22" customFormat="false" ht="69.75" hidden="false" customHeight="true" outlineLevel="0" collapsed="false">
      <c r="A22" s="22" t="s">
        <v>1483</v>
      </c>
      <c r="B22" s="13" t="s">
        <v>1484</v>
      </c>
      <c r="C22" s="12" t="s">
        <v>1239</v>
      </c>
      <c r="D22" s="12" t="s">
        <v>1239</v>
      </c>
      <c r="E22" s="12" t="s">
        <v>1485</v>
      </c>
      <c r="F22" s="46" t="s">
        <v>745</v>
      </c>
      <c r="G22" s="51" t="s">
        <v>962</v>
      </c>
      <c r="H22" s="50" t="s">
        <v>901</v>
      </c>
      <c r="I22" s="12" t="s">
        <v>1486</v>
      </c>
      <c r="J22" s="12" t="s">
        <v>1487</v>
      </c>
    </row>
    <row r="23" customFormat="false" ht="69.75" hidden="false" customHeight="true" outlineLevel="0" collapsed="false">
      <c r="A23" s="22" t="s">
        <v>1483</v>
      </c>
      <c r="B23" s="13" t="s">
        <v>1488</v>
      </c>
      <c r="C23" s="12" t="s">
        <v>1239</v>
      </c>
      <c r="D23" s="12" t="s">
        <v>1239</v>
      </c>
      <c r="E23" s="12" t="s">
        <v>1485</v>
      </c>
      <c r="F23" s="43" t="s">
        <v>705</v>
      </c>
      <c r="G23" s="50" t="s">
        <v>901</v>
      </c>
      <c r="H23" s="48" t="s">
        <v>812</v>
      </c>
      <c r="I23" s="12" t="s">
        <v>1489</v>
      </c>
      <c r="J23" s="12" t="s">
        <v>1490</v>
      </c>
    </row>
    <row r="24" customFormat="false" ht="57" hidden="false" customHeight="true" outlineLevel="0" collapsed="false">
      <c r="A24" s="22" t="s">
        <v>1483</v>
      </c>
      <c r="B24" s="13" t="s">
        <v>1491</v>
      </c>
      <c r="C24" s="12" t="s">
        <v>1239</v>
      </c>
      <c r="D24" s="12" t="s">
        <v>1239</v>
      </c>
      <c r="E24" s="12" t="s">
        <v>1492</v>
      </c>
      <c r="F24" s="43" t="s">
        <v>705</v>
      </c>
      <c r="G24" s="49" t="s">
        <v>852</v>
      </c>
      <c r="H24" s="50" t="s">
        <v>901</v>
      </c>
      <c r="I24" s="12" t="s">
        <v>1493</v>
      </c>
      <c r="J24" s="12" t="s">
        <v>1494</v>
      </c>
    </row>
    <row r="25" customFormat="false" ht="57" hidden="false" customHeight="true" outlineLevel="0" collapsed="false">
      <c r="A25" s="22" t="s">
        <v>1483</v>
      </c>
      <c r="B25" s="13" t="s">
        <v>1495</v>
      </c>
      <c r="C25" s="12" t="s">
        <v>1239</v>
      </c>
      <c r="D25" s="12" t="s">
        <v>1239</v>
      </c>
      <c r="E25" s="12" t="s">
        <v>1485</v>
      </c>
      <c r="F25" s="43" t="s">
        <v>705</v>
      </c>
      <c r="G25" s="46" t="s">
        <v>745</v>
      </c>
      <c r="H25" s="51" t="s">
        <v>962</v>
      </c>
      <c r="I25" s="12" t="s">
        <v>1496</v>
      </c>
      <c r="J25" s="12" t="s">
        <v>1497</v>
      </c>
    </row>
    <row r="26" customFormat="false" ht="43.5" hidden="false" customHeight="true" outlineLevel="0" collapsed="false">
      <c r="A26" s="22" t="s">
        <v>1483</v>
      </c>
      <c r="B26" s="13" t="s">
        <v>1498</v>
      </c>
      <c r="C26" s="12" t="s">
        <v>1239</v>
      </c>
      <c r="D26" s="12" t="s">
        <v>1239</v>
      </c>
      <c r="E26" s="12" t="s">
        <v>1492</v>
      </c>
      <c r="F26" s="46" t="s">
        <v>745</v>
      </c>
      <c r="G26" s="50" t="s">
        <v>901</v>
      </c>
      <c r="H26" s="48" t="s">
        <v>812</v>
      </c>
      <c r="I26" s="12" t="s">
        <v>1499</v>
      </c>
      <c r="J26" s="12" t="s">
        <v>1500</v>
      </c>
    </row>
    <row r="27" customFormat="false" ht="57" hidden="false" customHeight="true" outlineLevel="0" collapsed="false">
      <c r="A27" s="22" t="s">
        <v>1483</v>
      </c>
      <c r="B27" s="13" t="s">
        <v>1501</v>
      </c>
      <c r="C27" s="12" t="s">
        <v>1239</v>
      </c>
      <c r="D27" s="12" t="s">
        <v>1239</v>
      </c>
      <c r="E27" s="12" t="s">
        <v>1485</v>
      </c>
      <c r="F27" s="46" t="s">
        <v>745</v>
      </c>
      <c r="G27" s="50" t="s">
        <v>901</v>
      </c>
      <c r="H27" s="43" t="s">
        <v>705</v>
      </c>
      <c r="I27" s="12" t="s">
        <v>1502</v>
      </c>
      <c r="J27" s="12" t="s">
        <v>1503</v>
      </c>
    </row>
    <row r="28" customFormat="false" ht="57" hidden="false" customHeight="true" outlineLevel="0" collapsed="false">
      <c r="A28" s="22" t="s">
        <v>1483</v>
      </c>
      <c r="B28" s="13" t="s">
        <v>1504</v>
      </c>
      <c r="C28" s="12" t="s">
        <v>1239</v>
      </c>
      <c r="D28" s="12" t="s">
        <v>1239</v>
      </c>
      <c r="E28" s="12" t="s">
        <v>1485</v>
      </c>
      <c r="F28" s="46" t="s">
        <v>745</v>
      </c>
      <c r="G28" s="43" t="s">
        <v>705</v>
      </c>
      <c r="H28" s="48" t="s">
        <v>812</v>
      </c>
      <c r="I28" s="12" t="s">
        <v>1505</v>
      </c>
      <c r="J28" s="12" t="s">
        <v>1506</v>
      </c>
    </row>
    <row r="29" customFormat="false" ht="57" hidden="false" customHeight="true" outlineLevel="0" collapsed="false">
      <c r="A29" s="22" t="s">
        <v>1483</v>
      </c>
      <c r="B29" s="13" t="s">
        <v>1507</v>
      </c>
      <c r="C29" s="12" t="s">
        <v>1239</v>
      </c>
      <c r="D29" s="12" t="s">
        <v>1239</v>
      </c>
      <c r="E29" s="12" t="s">
        <v>1485</v>
      </c>
      <c r="F29" s="47" t="s">
        <v>791</v>
      </c>
      <c r="G29" s="46" t="s">
        <v>745</v>
      </c>
      <c r="H29" s="49" t="s">
        <v>852</v>
      </c>
      <c r="I29" s="12" t="s">
        <v>1508</v>
      </c>
      <c r="J29" s="12" t="s">
        <v>1509</v>
      </c>
    </row>
    <row r="30" customFormat="false" ht="43.5" hidden="false" customHeight="true" outlineLevel="0" collapsed="false">
      <c r="A30" s="22" t="s">
        <v>1483</v>
      </c>
      <c r="B30" s="13" t="s">
        <v>1510</v>
      </c>
      <c r="C30" s="12" t="s">
        <v>1511</v>
      </c>
      <c r="D30" s="12" t="s">
        <v>1239</v>
      </c>
      <c r="E30" s="12" t="s">
        <v>1485</v>
      </c>
      <c r="F30" s="49" t="s">
        <v>852</v>
      </c>
      <c r="G30" s="47" t="s">
        <v>791</v>
      </c>
      <c r="H30" s="46" t="s">
        <v>745</v>
      </c>
      <c r="I30" s="12" t="s">
        <v>1512</v>
      </c>
      <c r="J30" s="12" t="s">
        <v>1513</v>
      </c>
    </row>
    <row r="31" customFormat="false" ht="30.75" hidden="false" customHeight="true" outlineLevel="0" collapsed="false">
      <c r="A31" s="22" t="s">
        <v>1483</v>
      </c>
      <c r="B31" s="13" t="s">
        <v>1514</v>
      </c>
      <c r="C31" s="12" t="s">
        <v>1511</v>
      </c>
      <c r="D31" s="12" t="s">
        <v>1239</v>
      </c>
      <c r="E31" s="12" t="s">
        <v>1485</v>
      </c>
      <c r="F31" s="49" t="s">
        <v>852</v>
      </c>
      <c r="G31" s="47" t="s">
        <v>791</v>
      </c>
      <c r="H31" s="46" t="s">
        <v>745</v>
      </c>
      <c r="I31" s="12" t="s">
        <v>1515</v>
      </c>
      <c r="J31" s="12" t="s">
        <v>1516</v>
      </c>
    </row>
    <row r="32" customFormat="false" ht="57" hidden="false" customHeight="true" outlineLevel="0" collapsed="false">
      <c r="A32" s="22" t="s">
        <v>1483</v>
      </c>
      <c r="B32" s="13" t="s">
        <v>1517</v>
      </c>
      <c r="C32" s="12" t="s">
        <v>1239</v>
      </c>
      <c r="D32" s="12" t="s">
        <v>1239</v>
      </c>
      <c r="E32" s="12" t="s">
        <v>1485</v>
      </c>
      <c r="F32" s="47" t="s">
        <v>791</v>
      </c>
      <c r="G32" s="49" t="s">
        <v>852</v>
      </c>
      <c r="H32" s="43" t="s">
        <v>705</v>
      </c>
      <c r="I32" s="12" t="s">
        <v>1518</v>
      </c>
      <c r="J32" s="12" t="s">
        <v>1519</v>
      </c>
    </row>
    <row r="33" customFormat="false" ht="43.5" hidden="false" customHeight="true" outlineLevel="0" collapsed="false">
      <c r="A33" s="22" t="s">
        <v>1483</v>
      </c>
      <c r="B33" s="13" t="s">
        <v>1520</v>
      </c>
      <c r="C33" s="12" t="s">
        <v>1239</v>
      </c>
      <c r="D33" s="12" t="s">
        <v>1239</v>
      </c>
      <c r="E33" s="12" t="s">
        <v>1485</v>
      </c>
      <c r="F33" s="47" t="s">
        <v>791</v>
      </c>
      <c r="G33" s="49" t="s">
        <v>852</v>
      </c>
      <c r="H33" s="46" t="s">
        <v>745</v>
      </c>
      <c r="I33" s="12" t="s">
        <v>1521</v>
      </c>
      <c r="J33" s="12" t="s">
        <v>1522</v>
      </c>
    </row>
    <row r="34" customFormat="false" ht="43.5" hidden="false" customHeight="true" outlineLevel="0" collapsed="false">
      <c r="A34" s="22" t="s">
        <v>1483</v>
      </c>
      <c r="B34" s="13" t="s">
        <v>1523</v>
      </c>
      <c r="C34" s="12" t="s">
        <v>1239</v>
      </c>
      <c r="D34" s="12" t="s">
        <v>1239</v>
      </c>
      <c r="E34" s="12" t="s">
        <v>1485</v>
      </c>
      <c r="F34" s="46" t="s">
        <v>745</v>
      </c>
      <c r="G34" s="47" t="s">
        <v>791</v>
      </c>
      <c r="H34" s="48" t="s">
        <v>812</v>
      </c>
      <c r="I34" s="12" t="s">
        <v>1524</v>
      </c>
      <c r="J34" s="12" t="s">
        <v>1525</v>
      </c>
    </row>
    <row r="35" customFormat="false" ht="43.5" hidden="false" customHeight="true" outlineLevel="0" collapsed="false">
      <c r="A35" s="22" t="s">
        <v>1483</v>
      </c>
      <c r="B35" s="13" t="s">
        <v>1526</v>
      </c>
      <c r="C35" s="12" t="s">
        <v>1239</v>
      </c>
      <c r="D35" s="12" t="s">
        <v>1239</v>
      </c>
      <c r="E35" s="12" t="s">
        <v>1485</v>
      </c>
      <c r="F35" s="46" t="s">
        <v>745</v>
      </c>
      <c r="G35" s="48" t="s">
        <v>812</v>
      </c>
      <c r="H35" s="50" t="s">
        <v>901</v>
      </c>
      <c r="I35" s="12" t="s">
        <v>1527</v>
      </c>
      <c r="J35" s="12" t="s">
        <v>1528</v>
      </c>
    </row>
    <row r="36" customFormat="false" ht="30.75" hidden="false" customHeight="true" outlineLevel="0" collapsed="false">
      <c r="A36" s="22" t="s">
        <v>1483</v>
      </c>
      <c r="B36" s="13" t="s">
        <v>1529</v>
      </c>
      <c r="C36" s="12" t="s">
        <v>1239</v>
      </c>
      <c r="D36" s="12" t="s">
        <v>1239</v>
      </c>
      <c r="E36" s="12" t="s">
        <v>1485</v>
      </c>
      <c r="F36" s="43" t="s">
        <v>705</v>
      </c>
      <c r="G36" s="46" t="s">
        <v>745</v>
      </c>
      <c r="H36" s="47" t="s">
        <v>791</v>
      </c>
      <c r="I36" s="12" t="s">
        <v>1530</v>
      </c>
      <c r="J36" s="12" t="s">
        <v>1531</v>
      </c>
    </row>
    <row r="37" customFormat="false" ht="43.5" hidden="false" customHeight="true" outlineLevel="0" collapsed="false">
      <c r="A37" s="22" t="s">
        <v>1483</v>
      </c>
      <c r="B37" s="13" t="s">
        <v>1532</v>
      </c>
      <c r="C37" s="12" t="s">
        <v>1239</v>
      </c>
      <c r="D37" s="12" t="s">
        <v>1239</v>
      </c>
      <c r="E37" s="12" t="s">
        <v>1485</v>
      </c>
      <c r="F37" s="49" t="s">
        <v>852</v>
      </c>
      <c r="G37" s="43" t="s">
        <v>705</v>
      </c>
      <c r="H37" s="48" t="s">
        <v>812</v>
      </c>
      <c r="I37" s="12" t="s">
        <v>1533</v>
      </c>
      <c r="J37" s="12" t="s">
        <v>1534</v>
      </c>
    </row>
    <row r="38" customFormat="false" ht="43.5" hidden="false" customHeight="true" outlineLevel="0" collapsed="false">
      <c r="A38" s="22" t="s">
        <v>1483</v>
      </c>
      <c r="B38" s="13" t="s">
        <v>1535</v>
      </c>
      <c r="C38" s="12" t="s">
        <v>1239</v>
      </c>
      <c r="D38" s="12" t="s">
        <v>1239</v>
      </c>
      <c r="E38" s="12" t="s">
        <v>1485</v>
      </c>
      <c r="F38" s="43" t="s">
        <v>705</v>
      </c>
      <c r="G38" s="50" t="s">
        <v>901</v>
      </c>
      <c r="H38" s="48" t="s">
        <v>812</v>
      </c>
      <c r="I38" s="12" t="s">
        <v>1536</v>
      </c>
      <c r="J38" s="12" t="s">
        <v>1537</v>
      </c>
    </row>
    <row r="39" customFormat="false" ht="43.5" hidden="false" customHeight="true" outlineLevel="0" collapsed="false">
      <c r="A39" s="22" t="s">
        <v>1483</v>
      </c>
      <c r="B39" s="13" t="s">
        <v>1538</v>
      </c>
      <c r="C39" s="12" t="s">
        <v>1239</v>
      </c>
      <c r="D39" s="12" t="s">
        <v>1239</v>
      </c>
      <c r="E39" s="12" t="s">
        <v>1485</v>
      </c>
      <c r="F39" s="50" t="s">
        <v>901</v>
      </c>
      <c r="G39" s="48" t="s">
        <v>812</v>
      </c>
      <c r="H39" s="43" t="s">
        <v>705</v>
      </c>
      <c r="I39" s="12" t="s">
        <v>1539</v>
      </c>
      <c r="J39" s="12" t="s">
        <v>1540</v>
      </c>
    </row>
    <row r="40" customFormat="false" ht="43.5" hidden="false" customHeight="true" outlineLevel="0" collapsed="false">
      <c r="A40" s="22" t="s">
        <v>1483</v>
      </c>
      <c r="B40" s="13" t="s">
        <v>1541</v>
      </c>
      <c r="C40" s="12" t="s">
        <v>1239</v>
      </c>
      <c r="D40" s="12" t="s">
        <v>1239</v>
      </c>
      <c r="E40" s="12" t="s">
        <v>1485</v>
      </c>
      <c r="F40" s="50" t="s">
        <v>901</v>
      </c>
      <c r="G40" s="43" t="s">
        <v>705</v>
      </c>
      <c r="H40" s="47" t="s">
        <v>791</v>
      </c>
      <c r="I40" s="12" t="s">
        <v>1542</v>
      </c>
      <c r="J40" s="12" t="s">
        <v>1543</v>
      </c>
    </row>
    <row r="41" customFormat="false" ht="43.5" hidden="false" customHeight="true" outlineLevel="0" collapsed="false">
      <c r="A41" s="22" t="s">
        <v>1483</v>
      </c>
      <c r="B41" s="13" t="s">
        <v>1544</v>
      </c>
      <c r="C41" s="12" t="s">
        <v>1239</v>
      </c>
      <c r="D41" s="12" t="s">
        <v>1545</v>
      </c>
      <c r="E41" s="12" t="s">
        <v>1485</v>
      </c>
      <c r="F41" s="50" t="s">
        <v>901</v>
      </c>
      <c r="G41" s="43" t="s">
        <v>705</v>
      </c>
      <c r="H41" s="48" t="s">
        <v>812</v>
      </c>
      <c r="I41" s="12" t="s">
        <v>1546</v>
      </c>
      <c r="J41" s="12" t="s">
        <v>1547</v>
      </c>
    </row>
    <row r="42" customFormat="false" ht="43.5" hidden="false" customHeight="true" outlineLevel="0" collapsed="false">
      <c r="A42" s="22" t="s">
        <v>1483</v>
      </c>
      <c r="B42" s="13" t="s">
        <v>1548</v>
      </c>
      <c r="C42" s="12" t="s">
        <v>1239</v>
      </c>
      <c r="D42" s="12" t="s">
        <v>1549</v>
      </c>
      <c r="E42" s="12" t="s">
        <v>1550</v>
      </c>
      <c r="F42" s="50" t="s">
        <v>901</v>
      </c>
      <c r="G42" s="43" t="s">
        <v>705</v>
      </c>
      <c r="H42" s="47" t="s">
        <v>791</v>
      </c>
      <c r="I42" s="12" t="s">
        <v>1551</v>
      </c>
      <c r="J42" s="12" t="s">
        <v>1552</v>
      </c>
    </row>
    <row r="43" customFormat="false" ht="43.5" hidden="false" customHeight="true" outlineLevel="0" collapsed="false">
      <c r="A43" s="22" t="s">
        <v>1483</v>
      </c>
      <c r="B43" s="13" t="s">
        <v>1553</v>
      </c>
      <c r="C43" s="12" t="s">
        <v>1239</v>
      </c>
      <c r="D43" s="12" t="s">
        <v>1239</v>
      </c>
      <c r="E43" s="12" t="s">
        <v>1554</v>
      </c>
      <c r="F43" s="46" t="s">
        <v>745</v>
      </c>
      <c r="G43" s="48" t="s">
        <v>812</v>
      </c>
      <c r="H43" s="50" t="s">
        <v>901</v>
      </c>
      <c r="I43" s="12" t="s">
        <v>1555</v>
      </c>
      <c r="J43" s="12" t="s">
        <v>1556</v>
      </c>
    </row>
    <row r="44" customFormat="false" ht="30.75" hidden="false" customHeight="true" outlineLevel="0" collapsed="false">
      <c r="A44" s="22" t="s">
        <v>1483</v>
      </c>
      <c r="B44" s="13" t="s">
        <v>1557</v>
      </c>
      <c r="C44" s="12" t="s">
        <v>1239</v>
      </c>
      <c r="D44" s="12" t="s">
        <v>1545</v>
      </c>
      <c r="E44" s="12" t="s">
        <v>1554</v>
      </c>
      <c r="F44" s="46" t="s">
        <v>745</v>
      </c>
      <c r="G44" s="48" t="s">
        <v>812</v>
      </c>
      <c r="H44" s="12"/>
      <c r="I44" s="12" t="s">
        <v>1558</v>
      </c>
      <c r="J44" s="12" t="s">
        <v>1559</v>
      </c>
    </row>
    <row r="45" customFormat="false" ht="43.5" hidden="false" customHeight="true" outlineLevel="0" collapsed="false">
      <c r="A45" s="22" t="s">
        <v>1483</v>
      </c>
      <c r="B45" s="13" t="s">
        <v>1560</v>
      </c>
      <c r="C45" s="12" t="s">
        <v>1239</v>
      </c>
      <c r="D45" s="12" t="s">
        <v>1239</v>
      </c>
      <c r="E45" s="12" t="s">
        <v>1492</v>
      </c>
      <c r="F45" s="46" t="s">
        <v>745</v>
      </c>
      <c r="G45" s="12"/>
      <c r="H45" s="12"/>
      <c r="I45" s="12" t="s">
        <v>1561</v>
      </c>
      <c r="J45" s="12" t="s">
        <v>1562</v>
      </c>
    </row>
    <row r="46" customFormat="false" ht="43.5" hidden="false" customHeight="true" outlineLevel="0" collapsed="false">
      <c r="A46" s="22" t="s">
        <v>1483</v>
      </c>
      <c r="B46" s="13" t="s">
        <v>1563</v>
      </c>
      <c r="C46" s="12" t="s">
        <v>1239</v>
      </c>
      <c r="D46" s="12" t="s">
        <v>1239</v>
      </c>
      <c r="E46" s="12" t="s">
        <v>1564</v>
      </c>
      <c r="F46" s="46" t="s">
        <v>745</v>
      </c>
      <c r="G46" s="49" t="s">
        <v>852</v>
      </c>
      <c r="H46" s="12"/>
      <c r="I46" s="12" t="s">
        <v>1565</v>
      </c>
      <c r="J46" s="12" t="s">
        <v>1566</v>
      </c>
    </row>
    <row r="47" customFormat="false" ht="30.75" hidden="false" customHeight="true" outlineLevel="0" collapsed="false">
      <c r="A47" s="22" t="s">
        <v>1483</v>
      </c>
      <c r="B47" s="13" t="s">
        <v>1567</v>
      </c>
      <c r="C47" s="12" t="s">
        <v>1239</v>
      </c>
      <c r="D47" s="12" t="s">
        <v>1239</v>
      </c>
      <c r="E47" s="12" t="s">
        <v>1492</v>
      </c>
      <c r="F47" s="46" t="s">
        <v>745</v>
      </c>
      <c r="G47" s="49" t="s">
        <v>852</v>
      </c>
      <c r="H47" s="43" t="s">
        <v>705</v>
      </c>
      <c r="I47" s="12" t="s">
        <v>1568</v>
      </c>
      <c r="J47" s="12" t="s">
        <v>1569</v>
      </c>
    </row>
    <row r="48" customFormat="false" ht="30.75" hidden="false" customHeight="true" outlineLevel="0" collapsed="false">
      <c r="A48" s="22" t="s">
        <v>1483</v>
      </c>
      <c r="B48" s="13" t="s">
        <v>1570</v>
      </c>
      <c r="C48" s="12" t="s">
        <v>1239</v>
      </c>
      <c r="D48" s="12" t="s">
        <v>1549</v>
      </c>
      <c r="E48" s="12" t="s">
        <v>1550</v>
      </c>
      <c r="F48" s="48" t="s">
        <v>812</v>
      </c>
      <c r="G48" s="43" t="s">
        <v>705</v>
      </c>
      <c r="H48" s="12"/>
      <c r="I48" s="12" t="s">
        <v>1571</v>
      </c>
      <c r="J48" s="12" t="s">
        <v>1572</v>
      </c>
    </row>
    <row r="49" customFormat="false" ht="30.75" hidden="false" customHeight="true" outlineLevel="0" collapsed="false">
      <c r="A49" s="22" t="s">
        <v>1483</v>
      </c>
      <c r="B49" s="13" t="s">
        <v>1573</v>
      </c>
      <c r="C49" s="12" t="s">
        <v>1511</v>
      </c>
      <c r="D49" s="12" t="s">
        <v>1549</v>
      </c>
      <c r="E49" s="12" t="s">
        <v>1485</v>
      </c>
      <c r="F49" s="48" t="s">
        <v>812</v>
      </c>
      <c r="G49" s="46" t="s">
        <v>745</v>
      </c>
      <c r="H49" s="43" t="s">
        <v>705</v>
      </c>
      <c r="I49" s="12" t="s">
        <v>1574</v>
      </c>
      <c r="J49" s="12" t="s">
        <v>1575</v>
      </c>
    </row>
    <row r="50" customFormat="false" ht="30.75" hidden="false" customHeight="true" outlineLevel="0" collapsed="false">
      <c r="A50" s="22" t="s">
        <v>1483</v>
      </c>
      <c r="B50" s="13" t="s">
        <v>1576</v>
      </c>
      <c r="C50" s="12" t="s">
        <v>1511</v>
      </c>
      <c r="D50" s="12" t="s">
        <v>1545</v>
      </c>
      <c r="E50" s="12" t="s">
        <v>1485</v>
      </c>
      <c r="F50" s="51" t="s">
        <v>962</v>
      </c>
      <c r="G50" s="43" t="s">
        <v>705</v>
      </c>
      <c r="H50" s="12"/>
      <c r="I50" s="12" t="s">
        <v>1577</v>
      </c>
      <c r="J50" s="12" t="s">
        <v>1578</v>
      </c>
    </row>
    <row r="51" customFormat="false" ht="43.5" hidden="false" customHeight="true" outlineLevel="0" collapsed="false">
      <c r="A51" s="22" t="s">
        <v>1483</v>
      </c>
      <c r="B51" s="13" t="s">
        <v>1579</v>
      </c>
      <c r="C51" s="12" t="s">
        <v>1580</v>
      </c>
      <c r="D51" s="12" t="s">
        <v>1549</v>
      </c>
      <c r="E51" s="12" t="s">
        <v>1485</v>
      </c>
      <c r="F51" s="43" t="s">
        <v>705</v>
      </c>
      <c r="G51" s="51" t="s">
        <v>962</v>
      </c>
      <c r="H51" s="50" t="s">
        <v>901</v>
      </c>
      <c r="I51" s="12" t="s">
        <v>1581</v>
      </c>
      <c r="J51" s="12" t="s">
        <v>1582</v>
      </c>
    </row>
    <row r="52" customFormat="false" ht="57" hidden="false" customHeight="true" outlineLevel="0" collapsed="false">
      <c r="A52" s="22" t="s">
        <v>1483</v>
      </c>
      <c r="B52" s="13" t="s">
        <v>1583</v>
      </c>
      <c r="C52" s="12" t="s">
        <v>1580</v>
      </c>
      <c r="D52" s="12" t="s">
        <v>1549</v>
      </c>
      <c r="E52" s="12" t="s">
        <v>1485</v>
      </c>
      <c r="F52" s="51" t="s">
        <v>962</v>
      </c>
      <c r="G52" s="46" t="s">
        <v>745</v>
      </c>
      <c r="H52" s="43" t="s">
        <v>705</v>
      </c>
      <c r="I52" s="12" t="s">
        <v>1584</v>
      </c>
      <c r="J52" s="12" t="s">
        <v>1585</v>
      </c>
    </row>
    <row r="53" customFormat="false" ht="30.75" hidden="false" customHeight="true" outlineLevel="0" collapsed="false">
      <c r="A53" s="22" t="s">
        <v>1483</v>
      </c>
      <c r="B53" s="13" t="s">
        <v>1586</v>
      </c>
      <c r="C53" s="12" t="s">
        <v>1580</v>
      </c>
      <c r="D53" s="12" t="s">
        <v>1549</v>
      </c>
      <c r="E53" s="12" t="s">
        <v>1485</v>
      </c>
      <c r="F53" s="43" t="s">
        <v>705</v>
      </c>
      <c r="G53" s="50" t="s">
        <v>901</v>
      </c>
      <c r="H53" s="46" t="s">
        <v>745</v>
      </c>
      <c r="I53" s="12" t="s">
        <v>1587</v>
      </c>
      <c r="J53" s="12" t="s">
        <v>1588</v>
      </c>
    </row>
    <row r="54" customFormat="false" ht="30.75" hidden="false" customHeight="true" outlineLevel="0" collapsed="false">
      <c r="A54" s="22" t="s">
        <v>1483</v>
      </c>
      <c r="B54" s="13" t="s">
        <v>1589</v>
      </c>
      <c r="C54" s="12" t="s">
        <v>1580</v>
      </c>
      <c r="D54" s="12" t="s">
        <v>1549</v>
      </c>
      <c r="E54" s="12" t="s">
        <v>1485</v>
      </c>
      <c r="F54" s="43" t="s">
        <v>705</v>
      </c>
      <c r="G54" s="47" t="s">
        <v>791</v>
      </c>
      <c r="H54" s="46" t="s">
        <v>745</v>
      </c>
      <c r="I54" s="12" t="s">
        <v>1590</v>
      </c>
      <c r="J54" s="12" t="s">
        <v>1591</v>
      </c>
    </row>
    <row r="55" customFormat="false" ht="30.75" hidden="false" customHeight="true" outlineLevel="0" collapsed="false">
      <c r="A55" s="22" t="s">
        <v>1483</v>
      </c>
      <c r="B55" s="13" t="s">
        <v>1592</v>
      </c>
      <c r="C55" s="12" t="s">
        <v>1580</v>
      </c>
      <c r="D55" s="12" t="s">
        <v>1549</v>
      </c>
      <c r="E55" s="12" t="s">
        <v>1485</v>
      </c>
      <c r="F55" s="43" t="s">
        <v>705</v>
      </c>
      <c r="G55" s="48" t="s">
        <v>812</v>
      </c>
      <c r="H55" s="51" t="s">
        <v>962</v>
      </c>
      <c r="I55" s="12" t="s">
        <v>1593</v>
      </c>
      <c r="J55" s="12" t="s">
        <v>1594</v>
      </c>
    </row>
    <row r="56" customFormat="false" ht="30.75" hidden="false" customHeight="true" outlineLevel="0" collapsed="false">
      <c r="A56" s="22" t="s">
        <v>1483</v>
      </c>
      <c r="B56" s="13" t="s">
        <v>1595</v>
      </c>
      <c r="C56" s="12" t="s">
        <v>1580</v>
      </c>
      <c r="D56" s="12" t="s">
        <v>1549</v>
      </c>
      <c r="E56" s="12" t="s">
        <v>1485</v>
      </c>
      <c r="F56" s="43" t="s">
        <v>705</v>
      </c>
      <c r="G56" s="48" t="s">
        <v>812</v>
      </c>
      <c r="H56" s="12"/>
      <c r="I56" s="12" t="s">
        <v>1596</v>
      </c>
      <c r="J56" s="12" t="s">
        <v>1597</v>
      </c>
    </row>
    <row r="57" customFormat="false" ht="30.75" hidden="false" customHeight="true" outlineLevel="0" collapsed="false">
      <c r="A57" s="22" t="s">
        <v>1483</v>
      </c>
      <c r="B57" s="13" t="s">
        <v>1598</v>
      </c>
      <c r="C57" s="12" t="s">
        <v>1580</v>
      </c>
      <c r="D57" s="12" t="s">
        <v>1549</v>
      </c>
      <c r="E57" s="12" t="s">
        <v>1485</v>
      </c>
      <c r="F57" s="43" t="s">
        <v>705</v>
      </c>
      <c r="G57" s="51" t="s">
        <v>962</v>
      </c>
      <c r="H57" s="48" t="s">
        <v>812</v>
      </c>
      <c r="I57" s="12" t="s">
        <v>1599</v>
      </c>
      <c r="J57" s="12" t="s">
        <v>1600</v>
      </c>
    </row>
    <row r="58" customFormat="false" ht="30.75" hidden="false" customHeight="true" outlineLevel="0" collapsed="false">
      <c r="A58" s="22" t="s">
        <v>1483</v>
      </c>
      <c r="B58" s="13" t="s">
        <v>1601</v>
      </c>
      <c r="C58" s="12" t="s">
        <v>1580</v>
      </c>
      <c r="D58" s="12" t="s">
        <v>1549</v>
      </c>
      <c r="E58" s="12" t="s">
        <v>1485</v>
      </c>
      <c r="F58" s="43" t="s">
        <v>705</v>
      </c>
      <c r="G58" s="46" t="s">
        <v>745</v>
      </c>
      <c r="H58" s="48" t="s">
        <v>812</v>
      </c>
      <c r="I58" s="12" t="s">
        <v>1602</v>
      </c>
      <c r="J58" s="12" t="s">
        <v>1603</v>
      </c>
    </row>
    <row r="59" customFormat="false" ht="30.75" hidden="false" customHeight="true" outlineLevel="0" collapsed="false">
      <c r="A59" s="22" t="s">
        <v>1483</v>
      </c>
      <c r="B59" s="13" t="s">
        <v>1604</v>
      </c>
      <c r="C59" s="12" t="s">
        <v>1580</v>
      </c>
      <c r="D59" s="12" t="s">
        <v>1549</v>
      </c>
      <c r="E59" s="12" t="s">
        <v>1485</v>
      </c>
      <c r="F59" s="47" t="s">
        <v>791</v>
      </c>
      <c r="G59" s="49" t="s">
        <v>852</v>
      </c>
      <c r="H59" s="43" t="s">
        <v>705</v>
      </c>
      <c r="I59" s="12" t="s">
        <v>1605</v>
      </c>
      <c r="J59" s="12" t="s">
        <v>1606</v>
      </c>
    </row>
    <row r="60" customFormat="false" ht="30.75" hidden="false" customHeight="true" outlineLevel="0" collapsed="false">
      <c r="A60" s="22" t="s">
        <v>1483</v>
      </c>
      <c r="B60" s="13" t="s">
        <v>1607</v>
      </c>
      <c r="C60" s="12" t="s">
        <v>1580</v>
      </c>
      <c r="D60" s="12" t="s">
        <v>1549</v>
      </c>
      <c r="E60" s="12" t="s">
        <v>1485</v>
      </c>
      <c r="F60" s="51" t="s">
        <v>962</v>
      </c>
      <c r="G60" s="43" t="s">
        <v>705</v>
      </c>
      <c r="H60" s="46" t="s">
        <v>745</v>
      </c>
      <c r="I60" s="12" t="s">
        <v>1608</v>
      </c>
      <c r="J60" s="12" t="s">
        <v>1609</v>
      </c>
    </row>
    <row r="61" customFormat="false" ht="30.75" hidden="false" customHeight="true" outlineLevel="0" collapsed="false">
      <c r="A61" s="22" t="s">
        <v>1483</v>
      </c>
      <c r="B61" s="13" t="s">
        <v>1610</v>
      </c>
      <c r="C61" s="12" t="s">
        <v>1580</v>
      </c>
      <c r="D61" s="12" t="s">
        <v>1549</v>
      </c>
      <c r="E61" s="12" t="s">
        <v>1485</v>
      </c>
      <c r="F61" s="43" t="s">
        <v>705</v>
      </c>
      <c r="G61" s="51" t="s">
        <v>962</v>
      </c>
      <c r="H61" s="46" t="s">
        <v>745</v>
      </c>
      <c r="I61" s="12" t="s">
        <v>1611</v>
      </c>
      <c r="J61" s="12" t="s">
        <v>1612</v>
      </c>
    </row>
    <row r="62" customFormat="false" ht="30.75" hidden="false" customHeight="true" outlineLevel="0" collapsed="false">
      <c r="A62" s="22" t="s">
        <v>1483</v>
      </c>
      <c r="B62" s="13" t="s">
        <v>1613</v>
      </c>
      <c r="C62" s="12" t="s">
        <v>1580</v>
      </c>
      <c r="D62" s="12" t="s">
        <v>1545</v>
      </c>
      <c r="E62" s="12" t="s">
        <v>1485</v>
      </c>
      <c r="F62" s="46" t="s">
        <v>745</v>
      </c>
      <c r="G62" s="48" t="s">
        <v>812</v>
      </c>
      <c r="H62" s="43" t="s">
        <v>705</v>
      </c>
      <c r="I62" s="12" t="s">
        <v>1614</v>
      </c>
      <c r="J62" s="12" t="s">
        <v>1615</v>
      </c>
    </row>
    <row r="63" customFormat="false" ht="30.75" hidden="false" customHeight="true" outlineLevel="0" collapsed="false">
      <c r="A63" s="22" t="s">
        <v>1483</v>
      </c>
      <c r="B63" s="13" t="s">
        <v>1616</v>
      </c>
      <c r="C63" s="12" t="s">
        <v>1580</v>
      </c>
      <c r="D63" s="12" t="s">
        <v>1549</v>
      </c>
      <c r="E63" s="12" t="s">
        <v>1485</v>
      </c>
      <c r="F63" s="46" t="s">
        <v>745</v>
      </c>
      <c r="G63" s="48" t="s">
        <v>812</v>
      </c>
      <c r="H63" s="51" t="s">
        <v>962</v>
      </c>
      <c r="I63" s="12" t="s">
        <v>1617</v>
      </c>
      <c r="J63" s="12" t="s">
        <v>1618</v>
      </c>
    </row>
    <row r="64" customFormat="false" ht="30.75" hidden="false" customHeight="true" outlineLevel="0" collapsed="false">
      <c r="A64" s="22" t="s">
        <v>1483</v>
      </c>
      <c r="B64" s="13" t="s">
        <v>1619</v>
      </c>
      <c r="C64" s="12" t="s">
        <v>1580</v>
      </c>
      <c r="D64" s="12" t="s">
        <v>1549</v>
      </c>
      <c r="E64" s="12" t="s">
        <v>1485</v>
      </c>
      <c r="F64" s="46" t="s">
        <v>745</v>
      </c>
      <c r="G64" s="49" t="s">
        <v>852</v>
      </c>
      <c r="H64" s="48" t="s">
        <v>812</v>
      </c>
      <c r="I64" s="12" t="s">
        <v>1620</v>
      </c>
      <c r="J64" s="12" t="s">
        <v>1621</v>
      </c>
    </row>
    <row r="65" customFormat="false" ht="30.75" hidden="false" customHeight="true" outlineLevel="0" collapsed="false">
      <c r="A65" s="22" t="s">
        <v>1483</v>
      </c>
      <c r="B65" s="13" t="s">
        <v>1622</v>
      </c>
      <c r="C65" s="12" t="s">
        <v>1580</v>
      </c>
      <c r="D65" s="12" t="s">
        <v>1549</v>
      </c>
      <c r="E65" s="12" t="s">
        <v>1485</v>
      </c>
      <c r="F65" s="46" t="s">
        <v>745</v>
      </c>
      <c r="G65" s="50" t="s">
        <v>901</v>
      </c>
      <c r="H65" s="48" t="s">
        <v>812</v>
      </c>
      <c r="I65" s="12" t="s">
        <v>1623</v>
      </c>
      <c r="J65" s="12" t="s">
        <v>1624</v>
      </c>
    </row>
    <row r="66" customFormat="false" ht="30.75" hidden="false" customHeight="true" outlineLevel="0" collapsed="false">
      <c r="A66" s="22" t="s">
        <v>1483</v>
      </c>
      <c r="B66" s="13" t="s">
        <v>1625</v>
      </c>
      <c r="C66" s="12" t="s">
        <v>1580</v>
      </c>
      <c r="D66" s="12" t="s">
        <v>1549</v>
      </c>
      <c r="E66" s="12" t="s">
        <v>1485</v>
      </c>
      <c r="F66" s="46" t="s">
        <v>745</v>
      </c>
      <c r="G66" s="50" t="s">
        <v>901</v>
      </c>
      <c r="H66" s="48" t="s">
        <v>812</v>
      </c>
      <c r="I66" s="12" t="s">
        <v>1626</v>
      </c>
      <c r="J66" s="12" t="s">
        <v>1627</v>
      </c>
    </row>
    <row r="67" customFormat="false" ht="30.75" hidden="false" customHeight="true" outlineLevel="0" collapsed="false">
      <c r="A67" s="22" t="s">
        <v>1483</v>
      </c>
      <c r="B67" s="13" t="s">
        <v>1628</v>
      </c>
      <c r="C67" s="12" t="s">
        <v>1580</v>
      </c>
      <c r="D67" s="12" t="s">
        <v>1549</v>
      </c>
      <c r="E67" s="12" t="s">
        <v>1485</v>
      </c>
      <c r="F67" s="46" t="s">
        <v>745</v>
      </c>
      <c r="G67" s="47" t="s">
        <v>791</v>
      </c>
      <c r="H67" s="49" t="s">
        <v>852</v>
      </c>
      <c r="I67" s="12" t="s">
        <v>1629</v>
      </c>
      <c r="J67" s="12" t="s">
        <v>1630</v>
      </c>
    </row>
    <row r="68" customFormat="false" ht="30.75" hidden="false" customHeight="true" outlineLevel="0" collapsed="false">
      <c r="A68" s="22" t="s">
        <v>1483</v>
      </c>
      <c r="B68" s="13" t="s">
        <v>1631</v>
      </c>
      <c r="C68" s="12" t="s">
        <v>1580</v>
      </c>
      <c r="D68" s="12" t="s">
        <v>1545</v>
      </c>
      <c r="E68" s="12" t="s">
        <v>1485</v>
      </c>
      <c r="F68" s="46" t="s">
        <v>745</v>
      </c>
      <c r="G68" s="49" t="s">
        <v>852</v>
      </c>
      <c r="H68" s="48" t="s">
        <v>812</v>
      </c>
      <c r="I68" s="12" t="s">
        <v>1632</v>
      </c>
      <c r="J68" s="12" t="s">
        <v>1633</v>
      </c>
    </row>
    <row r="69" customFormat="false" ht="30.75" hidden="false" customHeight="true" outlineLevel="0" collapsed="false">
      <c r="A69" s="22" t="s">
        <v>1483</v>
      </c>
      <c r="B69" s="13" t="s">
        <v>1634</v>
      </c>
      <c r="C69" s="12" t="s">
        <v>1580</v>
      </c>
      <c r="D69" s="12" t="s">
        <v>1549</v>
      </c>
      <c r="E69" s="12" t="s">
        <v>1485</v>
      </c>
      <c r="F69" s="46" t="s">
        <v>745</v>
      </c>
      <c r="G69" s="43" t="s">
        <v>705</v>
      </c>
      <c r="H69" s="12"/>
      <c r="I69" s="12" t="s">
        <v>1635</v>
      </c>
      <c r="J69" s="12" t="s">
        <v>1636</v>
      </c>
    </row>
    <row r="70" customFormat="false" ht="43.5" hidden="false" customHeight="true" outlineLevel="0" collapsed="false">
      <c r="A70" s="22" t="s">
        <v>1483</v>
      </c>
      <c r="B70" s="13" t="s">
        <v>1637</v>
      </c>
      <c r="C70" s="12" t="s">
        <v>1638</v>
      </c>
      <c r="D70" s="12" t="s">
        <v>1639</v>
      </c>
      <c r="E70" s="12" t="s">
        <v>1640</v>
      </c>
      <c r="F70" s="46" t="s">
        <v>745</v>
      </c>
      <c r="G70" s="49" t="s">
        <v>852</v>
      </c>
      <c r="H70" s="12"/>
      <c r="I70" s="12" t="s">
        <v>1641</v>
      </c>
      <c r="J70" s="12" t="s">
        <v>1642</v>
      </c>
    </row>
    <row r="71" customFormat="false" ht="43.5" hidden="false" customHeight="true" outlineLevel="0" collapsed="false">
      <c r="A71" s="22" t="s">
        <v>1483</v>
      </c>
      <c r="B71" s="13" t="s">
        <v>1643</v>
      </c>
      <c r="C71" s="12" t="s">
        <v>1644</v>
      </c>
      <c r="D71" s="12" t="s">
        <v>1639</v>
      </c>
      <c r="E71" s="12" t="s">
        <v>1640</v>
      </c>
      <c r="F71" s="46" t="s">
        <v>745</v>
      </c>
      <c r="G71" s="48" t="s">
        <v>812</v>
      </c>
      <c r="H71" s="12"/>
      <c r="I71" s="12" t="s">
        <v>1645</v>
      </c>
      <c r="J71" s="12" t="s">
        <v>1646</v>
      </c>
    </row>
    <row r="72" customFormat="false" ht="43.5" hidden="false" customHeight="true" outlineLevel="0" collapsed="false">
      <c r="A72" s="22" t="s">
        <v>1483</v>
      </c>
      <c r="B72" s="13" t="s">
        <v>1647</v>
      </c>
      <c r="C72" s="12" t="s">
        <v>1648</v>
      </c>
      <c r="D72" s="12" t="s">
        <v>1639</v>
      </c>
      <c r="E72" s="12" t="s">
        <v>1640</v>
      </c>
      <c r="F72" s="48" t="s">
        <v>812</v>
      </c>
      <c r="G72" s="46" t="s">
        <v>745</v>
      </c>
      <c r="H72" s="12"/>
      <c r="I72" s="12" t="s">
        <v>1649</v>
      </c>
      <c r="J72" s="12" t="s">
        <v>1650</v>
      </c>
    </row>
    <row r="73" customFormat="false" ht="30.75" hidden="false" customHeight="true" outlineLevel="0" collapsed="false">
      <c r="A73" s="22" t="s">
        <v>1483</v>
      </c>
      <c r="B73" s="13" t="s">
        <v>1651</v>
      </c>
      <c r="C73" s="12" t="s">
        <v>1580</v>
      </c>
      <c r="D73" s="12" t="s">
        <v>1549</v>
      </c>
      <c r="E73" s="12" t="s">
        <v>1485</v>
      </c>
      <c r="F73" s="47" t="s">
        <v>791</v>
      </c>
      <c r="G73" s="49" t="s">
        <v>852</v>
      </c>
      <c r="H73" s="43" t="s">
        <v>705</v>
      </c>
      <c r="I73" s="12" t="s">
        <v>1652</v>
      </c>
      <c r="J73" s="12" t="s">
        <v>1653</v>
      </c>
    </row>
    <row r="74" customFormat="false" ht="30.75" hidden="false" customHeight="true" outlineLevel="0" collapsed="false">
      <c r="A74" s="22" t="s">
        <v>1483</v>
      </c>
      <c r="B74" s="13" t="s">
        <v>1654</v>
      </c>
      <c r="C74" s="12" t="s">
        <v>1580</v>
      </c>
      <c r="D74" s="12" t="s">
        <v>1549</v>
      </c>
      <c r="E74" s="12" t="s">
        <v>1485</v>
      </c>
      <c r="F74" s="47" t="s">
        <v>791</v>
      </c>
      <c r="G74" s="49" t="s">
        <v>852</v>
      </c>
      <c r="H74" s="46" t="s">
        <v>745</v>
      </c>
      <c r="I74" s="12" t="s">
        <v>1655</v>
      </c>
      <c r="J74" s="12" t="s">
        <v>1656</v>
      </c>
    </row>
    <row r="75" customFormat="false" ht="30.75" hidden="false" customHeight="true" outlineLevel="0" collapsed="false">
      <c r="A75" s="22" t="s">
        <v>1483</v>
      </c>
      <c r="B75" s="13" t="s">
        <v>1657</v>
      </c>
      <c r="C75" s="12" t="s">
        <v>1580</v>
      </c>
      <c r="D75" s="12" t="s">
        <v>1549</v>
      </c>
      <c r="E75" s="12" t="s">
        <v>1485</v>
      </c>
      <c r="F75" s="47" t="s">
        <v>791</v>
      </c>
      <c r="G75" s="49" t="s">
        <v>852</v>
      </c>
      <c r="H75" s="43" t="s">
        <v>705</v>
      </c>
      <c r="I75" s="12" t="s">
        <v>1658</v>
      </c>
      <c r="J75" s="12" t="s">
        <v>1659</v>
      </c>
    </row>
    <row r="76" customFormat="false" ht="30.75" hidden="false" customHeight="true" outlineLevel="0" collapsed="false">
      <c r="A76" s="22" t="s">
        <v>1483</v>
      </c>
      <c r="B76" s="13" t="s">
        <v>1660</v>
      </c>
      <c r="C76" s="12" t="s">
        <v>1580</v>
      </c>
      <c r="D76" s="12" t="s">
        <v>1549</v>
      </c>
      <c r="E76" s="12" t="s">
        <v>1485</v>
      </c>
      <c r="F76" s="49" t="s">
        <v>852</v>
      </c>
      <c r="G76" s="47" t="s">
        <v>791</v>
      </c>
      <c r="H76" s="43" t="s">
        <v>705</v>
      </c>
      <c r="I76" s="12" t="s">
        <v>1661</v>
      </c>
      <c r="J76" s="12" t="s">
        <v>1662</v>
      </c>
    </row>
    <row r="77" customFormat="false" ht="57" hidden="false" customHeight="true" outlineLevel="0" collapsed="false">
      <c r="A77" s="22" t="s">
        <v>1483</v>
      </c>
      <c r="B77" s="13" t="s">
        <v>1663</v>
      </c>
      <c r="C77" s="12" t="s">
        <v>1580</v>
      </c>
      <c r="D77" s="12" t="s">
        <v>1549</v>
      </c>
      <c r="E77" s="12" t="s">
        <v>1485</v>
      </c>
      <c r="F77" s="49" t="s">
        <v>852</v>
      </c>
      <c r="G77" s="50" t="s">
        <v>901</v>
      </c>
      <c r="H77" s="43" t="s">
        <v>705</v>
      </c>
      <c r="I77" s="12" t="s">
        <v>1664</v>
      </c>
      <c r="J77" s="12" t="s">
        <v>1665</v>
      </c>
    </row>
    <row r="78" customFormat="false" ht="30.75" hidden="false" customHeight="true" outlineLevel="0" collapsed="false">
      <c r="A78" s="22" t="s">
        <v>1483</v>
      </c>
      <c r="B78" s="13" t="s">
        <v>1666</v>
      </c>
      <c r="C78" s="12" t="s">
        <v>1580</v>
      </c>
      <c r="D78" s="12" t="s">
        <v>1545</v>
      </c>
      <c r="E78" s="12" t="s">
        <v>1485</v>
      </c>
      <c r="F78" s="49" t="s">
        <v>852</v>
      </c>
      <c r="G78" s="43" t="s">
        <v>705</v>
      </c>
      <c r="H78" s="47" t="s">
        <v>791</v>
      </c>
      <c r="I78" s="12" t="s">
        <v>1667</v>
      </c>
      <c r="J78" s="12" t="s">
        <v>1668</v>
      </c>
    </row>
    <row r="79" customFormat="false" ht="30.75" hidden="false" customHeight="true" outlineLevel="0" collapsed="false">
      <c r="A79" s="22" t="s">
        <v>1483</v>
      </c>
      <c r="B79" s="13" t="s">
        <v>1669</v>
      </c>
      <c r="C79" s="12" t="s">
        <v>1580</v>
      </c>
      <c r="D79" s="12" t="s">
        <v>1549</v>
      </c>
      <c r="E79" s="12" t="s">
        <v>1485</v>
      </c>
      <c r="F79" s="49" t="s">
        <v>852</v>
      </c>
      <c r="G79" s="43" t="s">
        <v>705</v>
      </c>
      <c r="H79" s="46" t="s">
        <v>745</v>
      </c>
      <c r="I79" s="12" t="s">
        <v>1670</v>
      </c>
      <c r="J79" s="12" t="s">
        <v>1671</v>
      </c>
    </row>
    <row r="80" customFormat="false" ht="30.75" hidden="false" customHeight="true" outlineLevel="0" collapsed="false">
      <c r="A80" s="22" t="s">
        <v>1483</v>
      </c>
      <c r="B80" s="13" t="s">
        <v>1672</v>
      </c>
      <c r="C80" s="12" t="s">
        <v>1580</v>
      </c>
      <c r="D80" s="12" t="s">
        <v>1549</v>
      </c>
      <c r="E80" s="12" t="s">
        <v>1550</v>
      </c>
      <c r="F80" s="49" t="s">
        <v>852</v>
      </c>
      <c r="G80" s="46" t="s">
        <v>745</v>
      </c>
      <c r="H80" s="12"/>
      <c r="I80" s="12" t="s">
        <v>1673</v>
      </c>
      <c r="J80" s="12" t="s">
        <v>1674</v>
      </c>
    </row>
    <row r="81" customFormat="false" ht="30.75" hidden="false" customHeight="true" outlineLevel="0" collapsed="false">
      <c r="A81" s="22" t="s">
        <v>1483</v>
      </c>
      <c r="B81" s="13" t="s">
        <v>1675</v>
      </c>
      <c r="C81" s="12" t="s">
        <v>1580</v>
      </c>
      <c r="D81" s="12" t="s">
        <v>1549</v>
      </c>
      <c r="E81" s="12" t="s">
        <v>1485</v>
      </c>
      <c r="F81" s="49" t="s">
        <v>852</v>
      </c>
      <c r="G81" s="43" t="s">
        <v>705</v>
      </c>
      <c r="H81" s="12"/>
      <c r="I81" s="12" t="s">
        <v>1676</v>
      </c>
      <c r="J81" s="12" t="s">
        <v>1677</v>
      </c>
    </row>
    <row r="82" customFormat="false" ht="30.75" hidden="false" customHeight="true" outlineLevel="0" collapsed="false">
      <c r="A82" s="22" t="s">
        <v>1483</v>
      </c>
      <c r="B82" s="13" t="s">
        <v>1678</v>
      </c>
      <c r="C82" s="12" t="s">
        <v>1580</v>
      </c>
      <c r="D82" s="12" t="s">
        <v>1549</v>
      </c>
      <c r="E82" s="12" t="s">
        <v>1550</v>
      </c>
      <c r="F82" s="49" t="s">
        <v>852</v>
      </c>
      <c r="G82" s="51" t="s">
        <v>962</v>
      </c>
      <c r="H82" s="50" t="s">
        <v>901</v>
      </c>
      <c r="I82" s="12" t="s">
        <v>1679</v>
      </c>
      <c r="J82" s="12" t="s">
        <v>1680</v>
      </c>
    </row>
    <row r="83" customFormat="false" ht="30.75" hidden="false" customHeight="true" outlineLevel="0" collapsed="false">
      <c r="A83" s="22" t="s">
        <v>1483</v>
      </c>
      <c r="B83" s="13" t="s">
        <v>1681</v>
      </c>
      <c r="C83" s="12" t="s">
        <v>1239</v>
      </c>
      <c r="D83" s="12" t="s">
        <v>1545</v>
      </c>
      <c r="E83" s="12" t="s">
        <v>1485</v>
      </c>
      <c r="F83" s="49" t="s">
        <v>852</v>
      </c>
      <c r="G83" s="43" t="s">
        <v>705</v>
      </c>
      <c r="H83" s="12"/>
      <c r="I83" s="12" t="s">
        <v>1682</v>
      </c>
      <c r="J83" s="12" t="s">
        <v>1683</v>
      </c>
    </row>
    <row r="84" customFormat="false" ht="30.75" hidden="false" customHeight="true" outlineLevel="0" collapsed="false">
      <c r="A84" s="22" t="s">
        <v>1483</v>
      </c>
      <c r="B84" s="13" t="s">
        <v>1684</v>
      </c>
      <c r="C84" s="12" t="s">
        <v>1580</v>
      </c>
      <c r="D84" s="12" t="s">
        <v>1545</v>
      </c>
      <c r="E84" s="12" t="s">
        <v>1550</v>
      </c>
      <c r="F84" s="48" t="s">
        <v>812</v>
      </c>
      <c r="G84" s="43" t="s">
        <v>705</v>
      </c>
      <c r="H84" s="46" t="s">
        <v>745</v>
      </c>
      <c r="I84" s="12" t="s">
        <v>1685</v>
      </c>
      <c r="J84" s="12" t="s">
        <v>1686</v>
      </c>
    </row>
    <row r="85" customFormat="false" ht="30.75" hidden="false" customHeight="true" outlineLevel="0" collapsed="false">
      <c r="A85" s="22" t="s">
        <v>1483</v>
      </c>
      <c r="B85" s="13" t="s">
        <v>1687</v>
      </c>
      <c r="C85" s="12" t="s">
        <v>1580</v>
      </c>
      <c r="D85" s="12" t="s">
        <v>1549</v>
      </c>
      <c r="E85" s="12" t="s">
        <v>1485</v>
      </c>
      <c r="F85" s="48" t="s">
        <v>812</v>
      </c>
      <c r="G85" s="46" t="s">
        <v>745</v>
      </c>
      <c r="H85" s="43" t="s">
        <v>705</v>
      </c>
      <c r="I85" s="12" t="s">
        <v>1688</v>
      </c>
      <c r="J85" s="12" t="s">
        <v>1689</v>
      </c>
    </row>
    <row r="86" customFormat="false" ht="30.75" hidden="false" customHeight="true" outlineLevel="0" collapsed="false">
      <c r="A86" s="22" t="s">
        <v>1483</v>
      </c>
      <c r="B86" s="13" t="s">
        <v>1690</v>
      </c>
      <c r="C86" s="12" t="s">
        <v>1580</v>
      </c>
      <c r="D86" s="12" t="s">
        <v>1545</v>
      </c>
      <c r="E86" s="12" t="s">
        <v>1485</v>
      </c>
      <c r="F86" s="48" t="s">
        <v>812</v>
      </c>
      <c r="G86" s="43" t="s">
        <v>705</v>
      </c>
      <c r="H86" s="49" t="s">
        <v>852</v>
      </c>
      <c r="I86" s="12" t="s">
        <v>1691</v>
      </c>
      <c r="J86" s="12" t="s">
        <v>1692</v>
      </c>
    </row>
    <row r="87" customFormat="false" ht="30.75" hidden="false" customHeight="true" outlineLevel="0" collapsed="false">
      <c r="A87" s="22" t="s">
        <v>1483</v>
      </c>
      <c r="B87" s="13" t="s">
        <v>1693</v>
      </c>
      <c r="C87" s="12" t="s">
        <v>1580</v>
      </c>
      <c r="D87" s="12" t="s">
        <v>1545</v>
      </c>
      <c r="E87" s="12" t="s">
        <v>1550</v>
      </c>
      <c r="F87" s="48" t="s">
        <v>812</v>
      </c>
      <c r="G87" s="43" t="s">
        <v>705</v>
      </c>
      <c r="H87" s="12"/>
      <c r="I87" s="12" t="s">
        <v>1694</v>
      </c>
      <c r="J87" s="12" t="s">
        <v>1695</v>
      </c>
    </row>
    <row r="88" customFormat="false" ht="30.75" hidden="false" customHeight="true" outlineLevel="0" collapsed="false">
      <c r="A88" s="22" t="s">
        <v>1483</v>
      </c>
      <c r="B88" s="13" t="s">
        <v>1696</v>
      </c>
      <c r="C88" s="12" t="s">
        <v>1697</v>
      </c>
      <c r="D88" s="12" t="s">
        <v>1545</v>
      </c>
      <c r="E88" s="12" t="s">
        <v>1550</v>
      </c>
      <c r="F88" s="48" t="s">
        <v>812</v>
      </c>
      <c r="G88" s="43" t="s">
        <v>705</v>
      </c>
      <c r="H88" s="12"/>
      <c r="I88" s="12" t="s">
        <v>1698</v>
      </c>
      <c r="J88" s="12" t="s">
        <v>1699</v>
      </c>
    </row>
    <row r="89" customFormat="false" ht="30.75" hidden="false" customHeight="true" outlineLevel="0" collapsed="false">
      <c r="A89" s="22" t="s">
        <v>1483</v>
      </c>
      <c r="B89" s="13" t="s">
        <v>1700</v>
      </c>
      <c r="C89" s="12" t="s">
        <v>1701</v>
      </c>
      <c r="D89" s="12" t="s">
        <v>1549</v>
      </c>
      <c r="E89" s="12" t="s">
        <v>1485</v>
      </c>
      <c r="F89" s="48" t="s">
        <v>812</v>
      </c>
      <c r="G89" s="46" t="s">
        <v>745</v>
      </c>
      <c r="H89" s="49" t="s">
        <v>852</v>
      </c>
      <c r="I89" s="12" t="s">
        <v>1702</v>
      </c>
      <c r="J89" s="12" t="s">
        <v>1703</v>
      </c>
    </row>
    <row r="90" customFormat="false" ht="30.75" hidden="false" customHeight="true" outlineLevel="0" collapsed="false">
      <c r="A90" s="22" t="s">
        <v>1483</v>
      </c>
      <c r="B90" s="13" t="s">
        <v>1704</v>
      </c>
      <c r="C90" s="12" t="s">
        <v>1705</v>
      </c>
      <c r="D90" s="12" t="s">
        <v>1549</v>
      </c>
      <c r="E90" s="12" t="s">
        <v>1550</v>
      </c>
      <c r="F90" s="48" t="s">
        <v>812</v>
      </c>
      <c r="G90" s="46" t="s">
        <v>745</v>
      </c>
      <c r="H90" s="50" t="s">
        <v>901</v>
      </c>
      <c r="I90" s="12" t="s">
        <v>1706</v>
      </c>
      <c r="J90" s="12" t="s">
        <v>1707</v>
      </c>
    </row>
    <row r="91" customFormat="false" ht="18" hidden="false" customHeight="true" outlineLevel="0" collapsed="false">
      <c r="A91" s="22" t="s">
        <v>1483</v>
      </c>
      <c r="B91" s="13" t="s">
        <v>1708</v>
      </c>
      <c r="C91" s="12" t="s">
        <v>1638</v>
      </c>
      <c r="D91" s="12" t="s">
        <v>1545</v>
      </c>
      <c r="E91" s="12" t="s">
        <v>1709</v>
      </c>
      <c r="F91" s="48" t="s">
        <v>812</v>
      </c>
      <c r="G91" s="43" t="s">
        <v>705</v>
      </c>
      <c r="H91" s="12"/>
      <c r="I91" s="12" t="s">
        <v>1710</v>
      </c>
      <c r="J91" s="12" t="s">
        <v>1711</v>
      </c>
    </row>
    <row r="92" customFormat="false" ht="30.75" hidden="false" customHeight="true" outlineLevel="0" collapsed="false">
      <c r="A92" s="22" t="s">
        <v>1483</v>
      </c>
      <c r="B92" s="13" t="s">
        <v>1712</v>
      </c>
      <c r="C92" s="12" t="s">
        <v>1638</v>
      </c>
      <c r="D92" s="12" t="s">
        <v>1545</v>
      </c>
      <c r="E92" s="12" t="s">
        <v>1713</v>
      </c>
      <c r="F92" s="48" t="s">
        <v>812</v>
      </c>
      <c r="G92" s="43" t="s">
        <v>705</v>
      </c>
      <c r="H92" s="12"/>
      <c r="I92" s="12" t="s">
        <v>1714</v>
      </c>
      <c r="J92" s="12" t="s">
        <v>1715</v>
      </c>
    </row>
    <row r="93" customFormat="false" ht="30.75" hidden="false" customHeight="true" outlineLevel="0" collapsed="false">
      <c r="A93" s="22" t="s">
        <v>1483</v>
      </c>
      <c r="B93" s="13" t="s">
        <v>1716</v>
      </c>
      <c r="C93" s="12" t="s">
        <v>1638</v>
      </c>
      <c r="D93" s="12" t="s">
        <v>1545</v>
      </c>
      <c r="E93" s="12" t="s">
        <v>1713</v>
      </c>
      <c r="F93" s="48" t="s">
        <v>812</v>
      </c>
      <c r="G93" s="46" t="s">
        <v>745</v>
      </c>
      <c r="H93" s="12"/>
      <c r="I93" s="12" t="s">
        <v>1717</v>
      </c>
      <c r="J93" s="12" t="s">
        <v>1718</v>
      </c>
    </row>
    <row r="94" customFormat="false" ht="30.75" hidden="false" customHeight="true" outlineLevel="0" collapsed="false">
      <c r="A94" s="22" t="s">
        <v>1483</v>
      </c>
      <c r="B94" s="13" t="s">
        <v>1719</v>
      </c>
      <c r="C94" s="12" t="s">
        <v>1580</v>
      </c>
      <c r="D94" s="12" t="s">
        <v>1549</v>
      </c>
      <c r="E94" s="12" t="s">
        <v>1550</v>
      </c>
      <c r="F94" s="48" t="s">
        <v>812</v>
      </c>
      <c r="G94" s="43" t="s">
        <v>705</v>
      </c>
      <c r="H94" s="12"/>
      <c r="I94" s="12" t="s">
        <v>1720</v>
      </c>
      <c r="J94" s="12" t="s">
        <v>1721</v>
      </c>
    </row>
    <row r="95" customFormat="false" ht="30.75" hidden="false" customHeight="true" outlineLevel="0" collapsed="false">
      <c r="A95" s="22" t="s">
        <v>1483</v>
      </c>
      <c r="B95" s="13" t="s">
        <v>1722</v>
      </c>
      <c r="C95" s="12" t="s">
        <v>1580</v>
      </c>
      <c r="D95" s="12" t="s">
        <v>1549</v>
      </c>
      <c r="E95" s="12" t="s">
        <v>1485</v>
      </c>
      <c r="F95" s="48" t="s">
        <v>812</v>
      </c>
      <c r="G95" s="43" t="s">
        <v>705</v>
      </c>
      <c r="H95" s="46" t="s">
        <v>745</v>
      </c>
      <c r="I95" s="12" t="s">
        <v>1723</v>
      </c>
      <c r="J95" s="12" t="s">
        <v>1724</v>
      </c>
    </row>
    <row r="96" customFormat="false" ht="30.75" hidden="false" customHeight="true" outlineLevel="0" collapsed="false">
      <c r="A96" s="22" t="s">
        <v>1483</v>
      </c>
      <c r="B96" s="13" t="s">
        <v>1725</v>
      </c>
      <c r="C96" s="12" t="s">
        <v>1726</v>
      </c>
      <c r="D96" s="12" t="s">
        <v>1545</v>
      </c>
      <c r="E96" s="12" t="s">
        <v>1550</v>
      </c>
      <c r="F96" s="48" t="s">
        <v>812</v>
      </c>
      <c r="G96" s="46" t="s">
        <v>745</v>
      </c>
      <c r="H96" s="12"/>
      <c r="I96" s="12" t="s">
        <v>1727</v>
      </c>
      <c r="J96" s="12" t="s">
        <v>1728</v>
      </c>
    </row>
    <row r="97" customFormat="false" ht="30.75" hidden="false" customHeight="true" outlineLevel="0" collapsed="false">
      <c r="A97" s="22" t="s">
        <v>1483</v>
      </c>
      <c r="B97" s="13" t="s">
        <v>1729</v>
      </c>
      <c r="C97" s="12" t="s">
        <v>1730</v>
      </c>
      <c r="D97" s="12" t="s">
        <v>1549</v>
      </c>
      <c r="E97" s="12" t="s">
        <v>1485</v>
      </c>
      <c r="F97" s="48" t="s">
        <v>812</v>
      </c>
      <c r="G97" s="43" t="s">
        <v>705</v>
      </c>
      <c r="H97" s="46" t="s">
        <v>745</v>
      </c>
      <c r="I97" s="12" t="s">
        <v>1731</v>
      </c>
      <c r="J97" s="12" t="s">
        <v>1732</v>
      </c>
    </row>
    <row r="98" customFormat="false" ht="30.75" hidden="false" customHeight="true" outlineLevel="0" collapsed="false">
      <c r="A98" s="22" t="s">
        <v>1483</v>
      </c>
      <c r="B98" s="13" t="s">
        <v>1733</v>
      </c>
      <c r="C98" s="12" t="s">
        <v>1580</v>
      </c>
      <c r="D98" s="12" t="s">
        <v>1549</v>
      </c>
      <c r="E98" s="12" t="s">
        <v>1485</v>
      </c>
      <c r="F98" s="48" t="s">
        <v>812</v>
      </c>
      <c r="G98" s="43" t="s">
        <v>705</v>
      </c>
      <c r="H98" s="12"/>
      <c r="I98" s="12" t="s">
        <v>1734</v>
      </c>
      <c r="J98" s="12" t="s">
        <v>1735</v>
      </c>
    </row>
    <row r="99" customFormat="false" ht="30.75" hidden="false" customHeight="true" outlineLevel="0" collapsed="false">
      <c r="A99" s="22" t="s">
        <v>1483</v>
      </c>
      <c r="B99" s="13" t="s">
        <v>1736</v>
      </c>
      <c r="C99" s="12" t="s">
        <v>1580</v>
      </c>
      <c r="D99" s="12" t="s">
        <v>1549</v>
      </c>
      <c r="E99" s="12" t="s">
        <v>1485</v>
      </c>
      <c r="F99" s="48" t="s">
        <v>812</v>
      </c>
      <c r="G99" s="46" t="s">
        <v>745</v>
      </c>
      <c r="H99" s="43" t="s">
        <v>705</v>
      </c>
      <c r="I99" s="12" t="s">
        <v>1737</v>
      </c>
      <c r="J99" s="12" t="s">
        <v>1735</v>
      </c>
    </row>
    <row r="100" customFormat="false" ht="43.5" hidden="false" customHeight="true" outlineLevel="0" collapsed="false">
      <c r="A100" s="22" t="s">
        <v>1483</v>
      </c>
      <c r="B100" s="13" t="s">
        <v>1738</v>
      </c>
      <c r="C100" s="12" t="s">
        <v>1580</v>
      </c>
      <c r="D100" s="12" t="s">
        <v>1549</v>
      </c>
      <c r="E100" s="12" t="s">
        <v>1485</v>
      </c>
      <c r="F100" s="50" t="s">
        <v>901</v>
      </c>
      <c r="G100" s="47" t="s">
        <v>791</v>
      </c>
      <c r="H100" s="43" t="s">
        <v>705</v>
      </c>
      <c r="I100" s="12" t="s">
        <v>1739</v>
      </c>
      <c r="J100" s="12" t="s">
        <v>1740</v>
      </c>
    </row>
    <row r="101" customFormat="false" ht="43.5" hidden="false" customHeight="true" outlineLevel="0" collapsed="false">
      <c r="A101" s="22" t="s">
        <v>1483</v>
      </c>
      <c r="B101" s="13" t="s">
        <v>1741</v>
      </c>
      <c r="C101" s="12" t="s">
        <v>1742</v>
      </c>
      <c r="D101" s="12" t="s">
        <v>1549</v>
      </c>
      <c r="E101" s="12" t="s">
        <v>1485</v>
      </c>
      <c r="F101" s="50" t="s">
        <v>901</v>
      </c>
      <c r="G101" s="47" t="s">
        <v>791</v>
      </c>
      <c r="H101" s="43" t="s">
        <v>705</v>
      </c>
      <c r="I101" s="12" t="s">
        <v>1743</v>
      </c>
      <c r="J101" s="12" t="s">
        <v>1744</v>
      </c>
    </row>
    <row r="102" customFormat="false" ht="30.75" hidden="false" customHeight="true" outlineLevel="0" collapsed="false">
      <c r="A102" s="22" t="s">
        <v>1483</v>
      </c>
      <c r="B102" s="13" t="s">
        <v>1745</v>
      </c>
      <c r="C102" s="12" t="s">
        <v>1746</v>
      </c>
      <c r="D102" s="12" t="s">
        <v>1549</v>
      </c>
      <c r="E102" s="12" t="s">
        <v>1485</v>
      </c>
      <c r="F102" s="50" t="s">
        <v>901</v>
      </c>
      <c r="G102" s="47" t="s">
        <v>791</v>
      </c>
      <c r="H102" s="43" t="s">
        <v>705</v>
      </c>
      <c r="I102" s="12" t="s">
        <v>1747</v>
      </c>
      <c r="J102" s="12" t="s">
        <v>1748</v>
      </c>
    </row>
    <row r="103" customFormat="false" ht="30.75" hidden="false" customHeight="true" outlineLevel="0" collapsed="false">
      <c r="A103" s="22" t="s">
        <v>1483</v>
      </c>
      <c r="B103" s="13" t="s">
        <v>1749</v>
      </c>
      <c r="C103" s="12" t="s">
        <v>1580</v>
      </c>
      <c r="D103" s="12" t="s">
        <v>1549</v>
      </c>
      <c r="E103" s="12" t="s">
        <v>1485</v>
      </c>
      <c r="F103" s="50" t="s">
        <v>901</v>
      </c>
      <c r="G103" s="47" t="s">
        <v>791</v>
      </c>
      <c r="H103" s="49" t="s">
        <v>852</v>
      </c>
      <c r="I103" s="12" t="s">
        <v>1750</v>
      </c>
      <c r="J103" s="12" t="s">
        <v>1751</v>
      </c>
    </row>
    <row r="104" customFormat="false" ht="30.75" hidden="false" customHeight="true" outlineLevel="0" collapsed="false">
      <c r="A104" s="22" t="s">
        <v>1483</v>
      </c>
      <c r="B104" s="13" t="s">
        <v>1752</v>
      </c>
      <c r="C104" s="12" t="s">
        <v>1753</v>
      </c>
      <c r="D104" s="12" t="s">
        <v>1549</v>
      </c>
      <c r="E104" s="12" t="s">
        <v>1485</v>
      </c>
      <c r="F104" s="50" t="s">
        <v>901</v>
      </c>
      <c r="G104" s="47" t="s">
        <v>791</v>
      </c>
      <c r="H104" s="43" t="s">
        <v>705</v>
      </c>
      <c r="I104" s="12" t="s">
        <v>1754</v>
      </c>
      <c r="J104" s="12" t="s">
        <v>1755</v>
      </c>
    </row>
    <row r="105" customFormat="false" ht="43.5" hidden="false" customHeight="true" outlineLevel="0" collapsed="false">
      <c r="A105" s="22" t="s">
        <v>1483</v>
      </c>
      <c r="B105" s="13" t="s">
        <v>215</v>
      </c>
      <c r="C105" s="12" t="s">
        <v>1756</v>
      </c>
      <c r="D105" s="12" t="s">
        <v>1545</v>
      </c>
      <c r="E105" s="12" t="s">
        <v>1485</v>
      </c>
      <c r="F105" s="50" t="s">
        <v>901</v>
      </c>
      <c r="G105" s="43" t="s">
        <v>705</v>
      </c>
      <c r="H105" s="49" t="s">
        <v>852</v>
      </c>
      <c r="I105" s="12" t="s">
        <v>1757</v>
      </c>
      <c r="J105" s="12" t="s">
        <v>1758</v>
      </c>
    </row>
    <row r="106" customFormat="false" ht="30.75" hidden="false" customHeight="true" outlineLevel="0" collapsed="false">
      <c r="A106" s="22" t="s">
        <v>1483</v>
      </c>
      <c r="B106" s="13" t="s">
        <v>1759</v>
      </c>
      <c r="C106" s="12" t="s">
        <v>1760</v>
      </c>
      <c r="D106" s="12" t="s">
        <v>1545</v>
      </c>
      <c r="E106" s="12" t="s">
        <v>1554</v>
      </c>
      <c r="F106" s="50" t="s">
        <v>901</v>
      </c>
      <c r="G106" s="49" t="s">
        <v>852</v>
      </c>
      <c r="H106" s="12"/>
      <c r="I106" s="12" t="s">
        <v>1761</v>
      </c>
      <c r="J106" s="12" t="s">
        <v>1762</v>
      </c>
    </row>
    <row r="107" customFormat="false" ht="30.75" hidden="false" customHeight="true" outlineLevel="0" collapsed="false">
      <c r="A107" s="22" t="s">
        <v>1483</v>
      </c>
      <c r="B107" s="13" t="s">
        <v>1763</v>
      </c>
      <c r="C107" s="12" t="s">
        <v>1580</v>
      </c>
      <c r="D107" s="12" t="s">
        <v>1549</v>
      </c>
      <c r="E107" s="12" t="s">
        <v>1485</v>
      </c>
      <c r="F107" s="50" t="s">
        <v>901</v>
      </c>
      <c r="G107" s="46" t="s">
        <v>745</v>
      </c>
      <c r="H107" s="43" t="s">
        <v>705</v>
      </c>
      <c r="I107" s="12" t="s">
        <v>1764</v>
      </c>
      <c r="J107" s="12" t="s">
        <v>1765</v>
      </c>
    </row>
    <row r="108" customFormat="false" ht="30.75" hidden="false" customHeight="true" outlineLevel="0" collapsed="false">
      <c r="A108" s="22" t="s">
        <v>1483</v>
      </c>
      <c r="B108" s="13" t="s">
        <v>1766</v>
      </c>
      <c r="C108" s="12" t="s">
        <v>1767</v>
      </c>
      <c r="D108" s="12" t="s">
        <v>1549</v>
      </c>
      <c r="E108" s="12" t="s">
        <v>1485</v>
      </c>
      <c r="F108" s="50" t="s">
        <v>901</v>
      </c>
      <c r="G108" s="43" t="s">
        <v>705</v>
      </c>
      <c r="H108" s="12"/>
      <c r="I108" s="12" t="s">
        <v>1768</v>
      </c>
      <c r="J108" s="12" t="s">
        <v>1769</v>
      </c>
    </row>
    <row r="109" customFormat="false" ht="30.75" hidden="false" customHeight="true" outlineLevel="0" collapsed="false">
      <c r="A109" s="22" t="s">
        <v>1483</v>
      </c>
      <c r="B109" s="13" t="s">
        <v>1770</v>
      </c>
      <c r="C109" s="12" t="s">
        <v>1580</v>
      </c>
      <c r="D109" s="12" t="s">
        <v>1549</v>
      </c>
      <c r="E109" s="12" t="s">
        <v>1550</v>
      </c>
      <c r="F109" s="50" t="s">
        <v>901</v>
      </c>
      <c r="G109" s="43" t="s">
        <v>705</v>
      </c>
      <c r="H109" s="12"/>
      <c r="I109" s="12" t="s">
        <v>1771</v>
      </c>
      <c r="J109" s="12" t="s">
        <v>1772</v>
      </c>
    </row>
    <row r="110" customFormat="false" ht="30.75" hidden="false" customHeight="true" outlineLevel="0" collapsed="false">
      <c r="A110" s="22" t="s">
        <v>1483</v>
      </c>
      <c r="B110" s="13" t="s">
        <v>1773</v>
      </c>
      <c r="C110" s="12" t="s">
        <v>1239</v>
      </c>
      <c r="D110" s="12" t="s">
        <v>1545</v>
      </c>
      <c r="E110" s="12" t="s">
        <v>1485</v>
      </c>
      <c r="F110" s="50" t="s">
        <v>901</v>
      </c>
      <c r="G110" s="51" t="s">
        <v>962</v>
      </c>
      <c r="H110" s="12"/>
      <c r="I110" s="12" t="s">
        <v>1774</v>
      </c>
      <c r="J110" s="12" t="s">
        <v>1775</v>
      </c>
    </row>
    <row r="111" customFormat="false" ht="43.5" hidden="false" customHeight="true" outlineLevel="0" collapsed="false">
      <c r="A111" s="22" t="s">
        <v>1483</v>
      </c>
      <c r="B111" s="13" t="s">
        <v>1776</v>
      </c>
      <c r="C111" s="12" t="s">
        <v>1580</v>
      </c>
      <c r="D111" s="12" t="s">
        <v>1549</v>
      </c>
      <c r="E111" s="12" t="s">
        <v>1550</v>
      </c>
      <c r="F111" s="50" t="s">
        <v>901</v>
      </c>
      <c r="G111" s="51" t="s">
        <v>962</v>
      </c>
      <c r="H111" s="46" t="s">
        <v>745</v>
      </c>
      <c r="I111" s="12" t="s">
        <v>1777</v>
      </c>
      <c r="J111" s="12" t="s">
        <v>1778</v>
      </c>
    </row>
    <row r="112" customFormat="false" ht="30.75" hidden="false" customHeight="true" outlineLevel="0" collapsed="false">
      <c r="A112" s="22" t="s">
        <v>1483</v>
      </c>
      <c r="B112" s="13" t="s">
        <v>1779</v>
      </c>
      <c r="C112" s="12" t="s">
        <v>1580</v>
      </c>
      <c r="D112" s="12" t="s">
        <v>1549</v>
      </c>
      <c r="E112" s="12" t="s">
        <v>1550</v>
      </c>
      <c r="F112" s="51" t="s">
        <v>962</v>
      </c>
      <c r="G112" s="50" t="s">
        <v>901</v>
      </c>
      <c r="H112" s="12"/>
      <c r="I112" s="12" t="s">
        <v>1780</v>
      </c>
      <c r="J112" s="12" t="s">
        <v>1781</v>
      </c>
    </row>
    <row r="113" customFormat="false" ht="30.75" hidden="false" customHeight="true" outlineLevel="0" collapsed="false">
      <c r="A113" s="22" t="s">
        <v>1483</v>
      </c>
      <c r="B113" s="13" t="s">
        <v>1782</v>
      </c>
      <c r="C113" s="12" t="s">
        <v>1580</v>
      </c>
      <c r="D113" s="12" t="s">
        <v>1545</v>
      </c>
      <c r="E113" s="12" t="s">
        <v>1485</v>
      </c>
      <c r="F113" s="46" t="s">
        <v>745</v>
      </c>
      <c r="G113" s="50" t="s">
        <v>901</v>
      </c>
      <c r="H113" s="51" t="s">
        <v>962</v>
      </c>
      <c r="I113" s="12" t="s">
        <v>1783</v>
      </c>
      <c r="J113" s="12" t="s">
        <v>1784</v>
      </c>
    </row>
    <row r="114" customFormat="false" ht="30.75" hidden="false" customHeight="true" outlineLevel="0" collapsed="false">
      <c r="A114" s="22" t="s">
        <v>1483</v>
      </c>
      <c r="B114" s="13" t="s">
        <v>1785</v>
      </c>
      <c r="C114" s="12" t="s">
        <v>1786</v>
      </c>
      <c r="D114" s="12" t="s">
        <v>1549</v>
      </c>
      <c r="E114" s="12" t="s">
        <v>1485</v>
      </c>
      <c r="F114" s="46" t="s">
        <v>745</v>
      </c>
      <c r="G114" s="50" t="s">
        <v>901</v>
      </c>
      <c r="H114" s="48" t="s">
        <v>812</v>
      </c>
      <c r="I114" s="12" t="s">
        <v>1787</v>
      </c>
      <c r="J114" s="12" t="s">
        <v>1788</v>
      </c>
    </row>
    <row r="115" customFormat="false" ht="30.75" hidden="false" customHeight="true" outlineLevel="0" collapsed="false">
      <c r="A115" s="22" t="s">
        <v>1483</v>
      </c>
      <c r="B115" s="13" t="s">
        <v>1789</v>
      </c>
      <c r="C115" s="12" t="s">
        <v>1580</v>
      </c>
      <c r="D115" s="12" t="s">
        <v>1545</v>
      </c>
      <c r="E115" s="12" t="s">
        <v>1550</v>
      </c>
      <c r="F115" s="51" t="s">
        <v>962</v>
      </c>
      <c r="G115" s="46" t="s">
        <v>745</v>
      </c>
      <c r="H115" s="43" t="s">
        <v>705</v>
      </c>
      <c r="I115" s="12" t="s">
        <v>1790</v>
      </c>
      <c r="J115" s="12" t="s">
        <v>1791</v>
      </c>
    </row>
    <row r="116" customFormat="false" ht="30.75" hidden="false" customHeight="true" outlineLevel="0" collapsed="false">
      <c r="A116" s="22" t="s">
        <v>1483</v>
      </c>
      <c r="B116" s="13" t="s">
        <v>1792</v>
      </c>
      <c r="C116" s="12" t="s">
        <v>1580</v>
      </c>
      <c r="D116" s="12" t="s">
        <v>1545</v>
      </c>
      <c r="E116" s="12" t="s">
        <v>1485</v>
      </c>
      <c r="F116" s="51" t="s">
        <v>962</v>
      </c>
      <c r="G116" s="43" t="s">
        <v>705</v>
      </c>
      <c r="H116" s="12"/>
      <c r="I116" s="12" t="s">
        <v>1793</v>
      </c>
      <c r="J116" s="12" t="s">
        <v>1794</v>
      </c>
    </row>
    <row r="117" customFormat="false" ht="30.75" hidden="false" customHeight="true" outlineLevel="0" collapsed="false">
      <c r="A117" s="22" t="s">
        <v>1483</v>
      </c>
      <c r="B117" s="13" t="s">
        <v>1795</v>
      </c>
      <c r="C117" s="12" t="s">
        <v>1580</v>
      </c>
      <c r="D117" s="12" t="s">
        <v>1545</v>
      </c>
      <c r="E117" s="12" t="s">
        <v>1485</v>
      </c>
      <c r="F117" s="51" t="s">
        <v>962</v>
      </c>
      <c r="G117" s="49" t="s">
        <v>852</v>
      </c>
      <c r="H117" s="12"/>
      <c r="I117" s="12" t="s">
        <v>1796</v>
      </c>
      <c r="J117" s="12" t="s">
        <v>1797</v>
      </c>
    </row>
    <row r="118" customFormat="false" ht="30.75" hidden="false" customHeight="true" outlineLevel="0" collapsed="false">
      <c r="A118" s="22" t="s">
        <v>1483</v>
      </c>
      <c r="B118" s="13" t="s">
        <v>1798</v>
      </c>
      <c r="C118" s="12" t="s">
        <v>1580</v>
      </c>
      <c r="D118" s="12" t="s">
        <v>1549</v>
      </c>
      <c r="E118" s="12" t="s">
        <v>1485</v>
      </c>
      <c r="F118" s="51" t="s">
        <v>962</v>
      </c>
      <c r="G118" s="43" t="s">
        <v>705</v>
      </c>
      <c r="H118" s="12"/>
      <c r="I118" s="12" t="s">
        <v>1799</v>
      </c>
      <c r="J118" s="12" t="s">
        <v>1800</v>
      </c>
    </row>
    <row r="119" customFormat="false" ht="30.75" hidden="false" customHeight="true" outlineLevel="0" collapsed="false">
      <c r="A119" s="22" t="s">
        <v>1483</v>
      </c>
      <c r="B119" s="13" t="s">
        <v>1801</v>
      </c>
      <c r="C119" s="12" t="s">
        <v>1580</v>
      </c>
      <c r="D119" s="12" t="s">
        <v>1549</v>
      </c>
      <c r="E119" s="12" t="s">
        <v>1485</v>
      </c>
      <c r="F119" s="51" t="s">
        <v>962</v>
      </c>
      <c r="G119" s="43" t="s">
        <v>705</v>
      </c>
      <c r="H119" s="46" t="s">
        <v>745</v>
      </c>
      <c r="I119" s="12" t="s">
        <v>1802</v>
      </c>
      <c r="J119" s="12" t="s">
        <v>1803</v>
      </c>
    </row>
    <row r="120" customFormat="false" ht="30.75" hidden="false" customHeight="true" outlineLevel="0" collapsed="false">
      <c r="A120" s="22" t="s">
        <v>1483</v>
      </c>
      <c r="B120" s="13" t="s">
        <v>1804</v>
      </c>
      <c r="C120" s="12" t="s">
        <v>1805</v>
      </c>
      <c r="D120" s="12" t="s">
        <v>1639</v>
      </c>
      <c r="E120" s="12" t="s">
        <v>1640</v>
      </c>
      <c r="F120" s="51" t="s">
        <v>962</v>
      </c>
      <c r="G120" s="12"/>
      <c r="H120" s="12"/>
      <c r="I120" s="12" t="s">
        <v>1806</v>
      </c>
      <c r="J120" s="12" t="s">
        <v>1807</v>
      </c>
    </row>
    <row r="121" customFormat="false" ht="30.75" hidden="false" customHeight="true" outlineLevel="0" collapsed="false">
      <c r="A121" s="22" t="s">
        <v>1483</v>
      </c>
      <c r="B121" s="13" t="s">
        <v>1808</v>
      </c>
      <c r="C121" s="12" t="s">
        <v>1805</v>
      </c>
      <c r="D121" s="12" t="s">
        <v>1639</v>
      </c>
      <c r="E121" s="12" t="s">
        <v>1640</v>
      </c>
      <c r="F121" s="51" t="s">
        <v>962</v>
      </c>
      <c r="G121" s="12"/>
      <c r="H121" s="12"/>
      <c r="I121" s="12" t="s">
        <v>1809</v>
      </c>
      <c r="J121" s="12" t="s">
        <v>1810</v>
      </c>
    </row>
    <row r="122" customFormat="false" ht="30.75" hidden="false" customHeight="true" outlineLevel="0" collapsed="false">
      <c r="A122" s="22" t="s">
        <v>1483</v>
      </c>
      <c r="B122" s="13" t="s">
        <v>1811</v>
      </c>
      <c r="C122" s="12" t="s">
        <v>1812</v>
      </c>
      <c r="D122" s="12" t="s">
        <v>1549</v>
      </c>
      <c r="E122" s="12" t="s">
        <v>1485</v>
      </c>
      <c r="F122" s="46" t="s">
        <v>745</v>
      </c>
      <c r="G122" s="51" t="s">
        <v>962</v>
      </c>
      <c r="H122" s="43" t="s">
        <v>705</v>
      </c>
      <c r="I122" s="12" t="s">
        <v>1813</v>
      </c>
      <c r="J122" s="12" t="s">
        <v>1814</v>
      </c>
    </row>
    <row r="123" customFormat="false" ht="43.5" hidden="false" customHeight="true" outlineLevel="0" collapsed="false">
      <c r="A123" s="22" t="s">
        <v>1483</v>
      </c>
      <c r="B123" s="13" t="s">
        <v>1815</v>
      </c>
      <c r="C123" s="12" t="s">
        <v>1239</v>
      </c>
      <c r="D123" s="12" t="s">
        <v>1239</v>
      </c>
      <c r="E123" s="12" t="s">
        <v>1485</v>
      </c>
      <c r="F123" s="50" t="s">
        <v>901</v>
      </c>
      <c r="G123" s="49" t="s">
        <v>852</v>
      </c>
      <c r="H123" s="48" t="s">
        <v>812</v>
      </c>
      <c r="I123" s="12" t="s">
        <v>1816</v>
      </c>
      <c r="J123" s="12" t="s">
        <v>1817</v>
      </c>
    </row>
    <row r="124" customFormat="false" ht="30.75" hidden="false" customHeight="true" outlineLevel="0" collapsed="false">
      <c r="A124" s="22" t="s">
        <v>1483</v>
      </c>
      <c r="B124" s="13" t="s">
        <v>1818</v>
      </c>
      <c r="C124" s="12" t="s">
        <v>1239</v>
      </c>
      <c r="D124" s="12" t="s">
        <v>1239</v>
      </c>
      <c r="E124" s="12" t="s">
        <v>1485</v>
      </c>
      <c r="F124" s="50" t="s">
        <v>901</v>
      </c>
      <c r="G124" s="49" t="s">
        <v>852</v>
      </c>
      <c r="H124" s="12"/>
      <c r="I124" s="12" t="s">
        <v>1819</v>
      </c>
      <c r="J124" s="12" t="s">
        <v>1820</v>
      </c>
    </row>
    <row r="125" customFormat="false" ht="30.75" hidden="false" customHeight="true" outlineLevel="0" collapsed="false">
      <c r="A125" s="22" t="s">
        <v>1483</v>
      </c>
      <c r="B125" s="13" t="s">
        <v>1821</v>
      </c>
      <c r="C125" s="12" t="s">
        <v>1239</v>
      </c>
      <c r="D125" s="12" t="s">
        <v>1545</v>
      </c>
      <c r="E125" s="12" t="s">
        <v>1485</v>
      </c>
      <c r="F125" s="50" t="s">
        <v>901</v>
      </c>
      <c r="G125" s="43" t="s">
        <v>705</v>
      </c>
      <c r="H125" s="12"/>
      <c r="I125" s="12" t="s">
        <v>1822</v>
      </c>
      <c r="J125" s="12" t="s">
        <v>1823</v>
      </c>
    </row>
    <row r="126" customFormat="false" ht="18" hidden="false" customHeight="true" outlineLevel="0" collapsed="false">
      <c r="A126" s="22" t="s">
        <v>1483</v>
      </c>
      <c r="B126" s="24"/>
      <c r="C126" s="24"/>
      <c r="D126" s="24"/>
      <c r="E126" s="24"/>
      <c r="F126" s="24"/>
      <c r="G126" s="24"/>
      <c r="H126" s="24"/>
      <c r="I126" s="24"/>
      <c r="J126" s="24"/>
    </row>
    <row r="127" customFormat="false" ht="18" hidden="false" customHeight="true" outlineLevel="0" collapsed="false">
      <c r="A127" s="22" t="s">
        <v>1483</v>
      </c>
      <c r="B127" s="24"/>
      <c r="C127" s="24"/>
      <c r="D127" s="24"/>
      <c r="E127" s="24"/>
      <c r="F127" s="24"/>
      <c r="G127" s="24"/>
      <c r="H127" s="24"/>
      <c r="I127" s="24"/>
      <c r="J127" s="24"/>
    </row>
    <row r="128" customFormat="false" ht="18" hidden="false" customHeight="true" outlineLevel="0" collapsed="false">
      <c r="A128" s="22" t="s">
        <v>1483</v>
      </c>
      <c r="B128" s="24"/>
      <c r="C128" s="24"/>
      <c r="D128" s="24"/>
      <c r="E128" s="24"/>
      <c r="F128" s="24"/>
      <c r="G128" s="24"/>
      <c r="H128" s="24"/>
      <c r="I128" s="24"/>
      <c r="J128" s="24"/>
    </row>
    <row r="129" customFormat="false" ht="18" hidden="false" customHeight="true" outlineLevel="0" collapsed="false">
      <c r="A129" s="19" t="s">
        <v>1824</v>
      </c>
      <c r="B129" s="19"/>
      <c r="C129" s="19"/>
      <c r="D129" s="19"/>
      <c r="E129" s="19"/>
      <c r="F129" s="19"/>
      <c r="G129" s="19"/>
      <c r="H129" s="19"/>
      <c r="I129" s="19"/>
      <c r="J129" s="19"/>
    </row>
  </sheetData>
  <autoFilter ref="A21:J128"/>
  <mergeCells count="32">
    <mergeCell ref="A1:J1"/>
    <mergeCell ref="A3:J3"/>
    <mergeCell ref="A6:J6"/>
    <mergeCell ref="A7:J7"/>
    <mergeCell ref="A8:B8"/>
    <mergeCell ref="C8:F8"/>
    <mergeCell ref="H8:J8"/>
    <mergeCell ref="A9:B9"/>
    <mergeCell ref="C9:F9"/>
    <mergeCell ref="H9:J9"/>
    <mergeCell ref="A10:B10"/>
    <mergeCell ref="C10:F10"/>
    <mergeCell ref="H10:J10"/>
    <mergeCell ref="A11:B11"/>
    <mergeCell ref="C11:F11"/>
    <mergeCell ref="H11:J11"/>
    <mergeCell ref="A12:B12"/>
    <mergeCell ref="C12:F12"/>
    <mergeCell ref="H12:J12"/>
    <mergeCell ref="A13:B13"/>
    <mergeCell ref="C13:F13"/>
    <mergeCell ref="H13:J13"/>
    <mergeCell ref="A14:B14"/>
    <mergeCell ref="C14:F14"/>
    <mergeCell ref="H14:J14"/>
    <mergeCell ref="A15:B15"/>
    <mergeCell ref="C15:F15"/>
    <mergeCell ref="H15:J15"/>
    <mergeCell ref="A17:J17"/>
    <mergeCell ref="A18:J18"/>
    <mergeCell ref="A20:J20"/>
    <mergeCell ref="A129:J129"/>
  </mergeCells>
  <dataValidations count="2">
    <dataValidation allowBlank="true" error="Pick one of the listed values" errorStyle="stop" errorTitle="Pick from the list" operator="between" showDropDown="false" showErrorMessage="true" showInputMessage="false" sqref="F22:H128" type="list">
      <formula1>"AI Posture &amp; Governance,Runtime Protection &amp; Guardrails,Shadow AI &amp; Usage Discovery,Observability &amp; Evaluation,Data Protection for AI,NHI &amp; Agentic Access,AI Supply Chain"</formula1>
      <formula2>0</formula2>
    </dataValidation>
    <dataValidation allowBlank="true" error="Pick one of the listed values" errorStyle="stop" errorTitle="Pick from the list" operator="between" showDropDown="false" showErrorMessage="true" showInputMessage="false" sqref="D22:D128" type="list">
      <formula1>"SaaS,Platform,Both,OSS"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9" topLeftCell="D20" activePane="bottomRight" state="frozen"/>
      <selection pane="topLeft" activeCell="A1" activeCellId="0" sqref="A1"/>
      <selection pane="topRight" activeCell="D1" activeCellId="0" sqref="D1"/>
      <selection pane="bottomLeft" activeCell="A20" activeCellId="0" sqref="A20"/>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22"/>
    <col collapsed="false" customWidth="true" hidden="false" outlineLevel="0" max="4" min="4" style="0" width="24"/>
    <col collapsed="false" customWidth="true" hidden="false" outlineLevel="0" max="6" min="5" style="0" width="36"/>
    <col collapsed="false" customWidth="true" hidden="false" outlineLevel="0" max="7" min="7" style="0" width="32"/>
    <col collapsed="false" customWidth="true" hidden="false" outlineLevel="0" max="8" min="8" style="0" width="40"/>
    <col collapsed="false" customWidth="true" hidden="false" outlineLevel="0" max="9" min="9" style="0" width="30"/>
    <col collapsed="false" customWidth="true" hidden="false" outlineLevel="0" max="10" min="10" style="0" width="32"/>
    <col collapsed="false" customWidth="true" hidden="false" outlineLevel="0" max="11" min="11" style="0" width="34"/>
    <col collapsed="false" customWidth="true" hidden="false" outlineLevel="0" max="12" min="12" style="0" width="26"/>
  </cols>
  <sheetData>
    <row r="1" customFormat="false" ht="27.75" hidden="false" customHeight="true" outlineLevel="0" collapsed="false">
      <c r="A1" s="1" t="s">
        <v>1825</v>
      </c>
      <c r="B1" s="1"/>
      <c r="C1" s="1"/>
      <c r="D1" s="1"/>
      <c r="E1" s="1"/>
      <c r="F1" s="1"/>
      <c r="G1" s="1"/>
      <c r="H1" s="1"/>
      <c r="I1" s="1"/>
      <c r="J1" s="1"/>
      <c r="K1" s="1"/>
      <c r="L1" s="1"/>
    </row>
    <row r="2" customFormat="false" ht="18" hidden="false" customHeight="true" outlineLevel="0" collapsed="false"/>
    <row r="3" customFormat="false" ht="30.75" hidden="false" customHeight="true" outlineLevel="0" collapsed="false">
      <c r="A3" s="2" t="s">
        <v>1826</v>
      </c>
      <c r="B3" s="2"/>
      <c r="C3" s="2"/>
      <c r="D3" s="2"/>
      <c r="E3" s="2"/>
      <c r="F3" s="2"/>
      <c r="G3" s="2"/>
      <c r="H3" s="2"/>
      <c r="I3" s="2"/>
      <c r="J3" s="2"/>
      <c r="K3" s="2"/>
      <c r="L3" s="2"/>
    </row>
    <row r="4" customFormat="false" ht="18" hidden="false" customHeight="true" outlineLevel="0" collapsed="false"/>
    <row r="5" customFormat="false" ht="18" hidden="false" customHeight="true" outlineLevel="0" collapsed="false"/>
    <row r="6" customFormat="false" ht="21.75" hidden="false" customHeight="true" outlineLevel="0" collapsed="false">
      <c r="A6" s="8" t="s">
        <v>1827</v>
      </c>
      <c r="B6" s="8"/>
      <c r="C6" s="8"/>
      <c r="D6" s="8"/>
      <c r="E6" s="8"/>
      <c r="F6" s="8"/>
      <c r="G6" s="8"/>
      <c r="H6" s="8"/>
      <c r="I6" s="8"/>
      <c r="J6" s="8"/>
      <c r="K6" s="8"/>
      <c r="L6" s="8"/>
    </row>
    <row r="7" customFormat="false" ht="18" hidden="false" customHeight="true" outlineLevel="0" collapsed="false">
      <c r="A7" s="9" t="s">
        <v>1828</v>
      </c>
      <c r="B7" s="9"/>
      <c r="C7" s="9" t="s">
        <v>1829</v>
      </c>
      <c r="D7" s="9"/>
      <c r="E7" s="9"/>
      <c r="F7" s="9"/>
      <c r="G7" s="9"/>
      <c r="H7" s="9" t="s">
        <v>1830</v>
      </c>
      <c r="I7" s="9"/>
      <c r="J7" s="9"/>
      <c r="K7" s="9"/>
      <c r="L7" s="9"/>
    </row>
    <row r="8" customFormat="false" ht="18" hidden="false" customHeight="true" outlineLevel="0" collapsed="false">
      <c r="A8" s="13" t="s">
        <v>1831</v>
      </c>
      <c r="B8" s="13"/>
      <c r="C8" s="12" t="s">
        <v>1832</v>
      </c>
      <c r="D8" s="12"/>
      <c r="E8" s="12"/>
      <c r="F8" s="12"/>
      <c r="G8" s="12"/>
      <c r="H8" s="12" t="s">
        <v>1833</v>
      </c>
      <c r="I8" s="12"/>
      <c r="J8" s="12"/>
      <c r="K8" s="12"/>
      <c r="L8" s="12"/>
    </row>
    <row r="9" customFormat="false" ht="30.75" hidden="false" customHeight="true" outlineLevel="0" collapsed="false">
      <c r="A9" s="13" t="s">
        <v>1834</v>
      </c>
      <c r="B9" s="13"/>
      <c r="C9" s="12" t="s">
        <v>1835</v>
      </c>
      <c r="D9" s="12"/>
      <c r="E9" s="12"/>
      <c r="F9" s="12"/>
      <c r="G9" s="12"/>
      <c r="H9" s="12" t="s">
        <v>1836</v>
      </c>
      <c r="I9" s="12"/>
      <c r="J9" s="12"/>
      <c r="K9" s="12"/>
      <c r="L9" s="12"/>
    </row>
    <row r="10" customFormat="false" ht="18" hidden="false" customHeight="true" outlineLevel="0" collapsed="false">
      <c r="A10" s="13" t="s">
        <v>1837</v>
      </c>
      <c r="B10" s="13"/>
      <c r="C10" s="12" t="s">
        <v>1838</v>
      </c>
      <c r="D10" s="12"/>
      <c r="E10" s="12"/>
      <c r="F10" s="12"/>
      <c r="G10" s="12"/>
      <c r="H10" s="12" t="s">
        <v>1839</v>
      </c>
      <c r="I10" s="12"/>
      <c r="J10" s="12"/>
      <c r="K10" s="12"/>
      <c r="L10" s="12"/>
    </row>
    <row r="11" customFormat="false" ht="30.75" hidden="false" customHeight="true" outlineLevel="0" collapsed="false">
      <c r="A11" s="13" t="s">
        <v>1840</v>
      </c>
      <c r="B11" s="13"/>
      <c r="C11" s="12" t="s">
        <v>1841</v>
      </c>
      <c r="D11" s="12"/>
      <c r="E11" s="12"/>
      <c r="F11" s="12"/>
      <c r="G11" s="12"/>
      <c r="H11" s="12" t="s">
        <v>1842</v>
      </c>
      <c r="I11" s="12"/>
      <c r="J11" s="12"/>
      <c r="K11" s="12"/>
      <c r="L11" s="12"/>
    </row>
    <row r="12" customFormat="false" ht="18" hidden="false" customHeight="true" outlineLevel="0" collapsed="false">
      <c r="A12" s="13" t="s">
        <v>1843</v>
      </c>
      <c r="B12" s="13"/>
      <c r="C12" s="12" t="s">
        <v>1844</v>
      </c>
      <c r="D12" s="12"/>
      <c r="E12" s="12"/>
      <c r="F12" s="12"/>
      <c r="G12" s="12"/>
      <c r="H12" s="12" t="s">
        <v>1845</v>
      </c>
      <c r="I12" s="12"/>
      <c r="J12" s="12"/>
      <c r="K12" s="12"/>
      <c r="L12" s="12"/>
    </row>
    <row r="13" customFormat="false" ht="30.75" hidden="false" customHeight="true" outlineLevel="0" collapsed="false">
      <c r="A13" s="13" t="s">
        <v>1846</v>
      </c>
      <c r="B13" s="13"/>
      <c r="C13" s="12" t="s">
        <v>1847</v>
      </c>
      <c r="D13" s="12"/>
      <c r="E13" s="12"/>
      <c r="F13" s="12"/>
      <c r="G13" s="12"/>
      <c r="H13" s="12" t="s">
        <v>1848</v>
      </c>
      <c r="I13" s="12"/>
      <c r="J13" s="12"/>
      <c r="K13" s="12"/>
      <c r="L13" s="12"/>
    </row>
    <row r="14" customFormat="false" ht="18" hidden="false" customHeight="true" outlineLevel="0" collapsed="false">
      <c r="A14" s="13" t="s">
        <v>1849</v>
      </c>
      <c r="B14" s="13"/>
      <c r="C14" s="12" t="s">
        <v>1850</v>
      </c>
      <c r="D14" s="12"/>
      <c r="E14" s="12"/>
      <c r="F14" s="12"/>
      <c r="G14" s="12"/>
      <c r="H14" s="12" t="s">
        <v>1851</v>
      </c>
      <c r="I14" s="12"/>
      <c r="J14" s="12"/>
      <c r="K14" s="12"/>
      <c r="L14" s="12"/>
    </row>
    <row r="15" customFormat="false" ht="18" hidden="false" customHeight="true" outlineLevel="0" collapsed="false">
      <c r="A15" s="13" t="s">
        <v>1208</v>
      </c>
      <c r="B15" s="13"/>
      <c r="C15" s="12" t="s">
        <v>1852</v>
      </c>
      <c r="D15" s="12"/>
      <c r="E15" s="12"/>
      <c r="F15" s="12"/>
      <c r="G15" s="12"/>
      <c r="H15" s="12" t="s">
        <v>1853</v>
      </c>
      <c r="I15" s="12"/>
      <c r="J15" s="12"/>
      <c r="K15" s="12"/>
      <c r="L15" s="12"/>
    </row>
    <row r="16" customFormat="false" ht="18" hidden="false" customHeight="true" outlineLevel="0" collapsed="false"/>
    <row r="17" customFormat="false" ht="21.75" hidden="false" customHeight="true" outlineLevel="0" collapsed="false">
      <c r="A17" s="8" t="s">
        <v>1854</v>
      </c>
      <c r="B17" s="8"/>
      <c r="C17" s="8"/>
      <c r="D17" s="8"/>
      <c r="E17" s="8"/>
      <c r="F17" s="8"/>
      <c r="G17" s="8"/>
      <c r="H17" s="8"/>
      <c r="I17" s="8"/>
      <c r="J17" s="8"/>
      <c r="K17" s="8"/>
      <c r="L17" s="8"/>
    </row>
    <row r="18" customFormat="false" ht="18" hidden="false" customHeight="true" outlineLevel="0" collapsed="false">
      <c r="A18" s="2" t="s">
        <v>1855</v>
      </c>
      <c r="B18" s="2"/>
      <c r="C18" s="2"/>
      <c r="D18" s="2"/>
      <c r="E18" s="2"/>
      <c r="F18" s="2"/>
      <c r="G18" s="2"/>
      <c r="H18" s="2"/>
      <c r="I18" s="2"/>
      <c r="J18" s="2"/>
      <c r="K18" s="2"/>
      <c r="L18" s="2"/>
    </row>
    <row r="19" customFormat="false" ht="18" hidden="false" customHeight="true" outlineLevel="0" collapsed="false">
      <c r="A19" s="21" t="s">
        <v>1856</v>
      </c>
      <c r="B19" s="9" t="s">
        <v>696</v>
      </c>
      <c r="C19" s="9" t="s">
        <v>669</v>
      </c>
      <c r="D19" s="9" t="s">
        <v>697</v>
      </c>
      <c r="E19" s="9" t="s">
        <v>1831</v>
      </c>
      <c r="F19" s="9" t="s">
        <v>1834</v>
      </c>
      <c r="G19" s="9" t="s">
        <v>1837</v>
      </c>
      <c r="H19" s="9" t="s">
        <v>1840</v>
      </c>
      <c r="I19" s="9" t="s">
        <v>1843</v>
      </c>
      <c r="J19" s="9" t="s">
        <v>1846</v>
      </c>
      <c r="K19" s="9" t="s">
        <v>1849</v>
      </c>
      <c r="L19" s="9" t="s">
        <v>1208</v>
      </c>
    </row>
    <row r="20" customFormat="false" ht="57" hidden="false" customHeight="true" outlineLevel="0" collapsed="false">
      <c r="A20" s="22" t="s">
        <v>1857</v>
      </c>
      <c r="B20" s="10" t="s">
        <v>704</v>
      </c>
      <c r="C20" s="43" t="s">
        <v>705</v>
      </c>
      <c r="D20" s="13" t="s">
        <v>706</v>
      </c>
      <c r="E20" s="12" t="s">
        <v>1858</v>
      </c>
      <c r="F20" s="12" t="s">
        <v>1859</v>
      </c>
      <c r="G20" s="12" t="s">
        <v>1860</v>
      </c>
      <c r="H20" s="12" t="s">
        <v>1861</v>
      </c>
      <c r="I20" s="12" t="s">
        <v>1862</v>
      </c>
      <c r="J20" s="12" t="s">
        <v>1863</v>
      </c>
      <c r="K20" s="12" t="s">
        <v>1864</v>
      </c>
      <c r="L20" s="12" t="s">
        <v>1865</v>
      </c>
    </row>
    <row r="21" customFormat="false" ht="57" hidden="false" customHeight="true" outlineLevel="0" collapsed="false">
      <c r="A21" s="22" t="s">
        <v>1857</v>
      </c>
      <c r="B21" s="10" t="s">
        <v>711</v>
      </c>
      <c r="C21" s="43" t="s">
        <v>705</v>
      </c>
      <c r="D21" s="13" t="s">
        <v>712</v>
      </c>
      <c r="E21" s="12" t="s">
        <v>1866</v>
      </c>
      <c r="F21" s="12" t="s">
        <v>1867</v>
      </c>
      <c r="G21" s="12" t="s">
        <v>1868</v>
      </c>
      <c r="H21" s="12" t="s">
        <v>1869</v>
      </c>
      <c r="I21" s="12" t="s">
        <v>1870</v>
      </c>
      <c r="J21" s="12" t="s">
        <v>1871</v>
      </c>
      <c r="K21" s="12" t="s">
        <v>1872</v>
      </c>
      <c r="L21" s="12" t="s">
        <v>1873</v>
      </c>
    </row>
    <row r="22" customFormat="false" ht="57" hidden="false" customHeight="true" outlineLevel="0" collapsed="false">
      <c r="A22" s="22" t="s">
        <v>1857</v>
      </c>
      <c r="B22" s="10" t="s">
        <v>715</v>
      </c>
      <c r="C22" s="43" t="s">
        <v>705</v>
      </c>
      <c r="D22" s="13" t="s">
        <v>716</v>
      </c>
      <c r="E22" s="12" t="s">
        <v>1874</v>
      </c>
      <c r="F22" s="12" t="s">
        <v>1875</v>
      </c>
      <c r="G22" s="12" t="s">
        <v>1876</v>
      </c>
      <c r="H22" s="12" t="s">
        <v>1877</v>
      </c>
      <c r="I22" s="12" t="s">
        <v>1878</v>
      </c>
      <c r="J22" s="12" t="s">
        <v>1879</v>
      </c>
      <c r="K22" s="12" t="s">
        <v>1880</v>
      </c>
      <c r="L22" s="12" t="s">
        <v>1881</v>
      </c>
    </row>
    <row r="23" customFormat="false" ht="57" hidden="false" customHeight="true" outlineLevel="0" collapsed="false">
      <c r="A23" s="22" t="s">
        <v>1857</v>
      </c>
      <c r="B23" s="10" t="s">
        <v>719</v>
      </c>
      <c r="C23" s="43" t="s">
        <v>705</v>
      </c>
      <c r="D23" s="13" t="s">
        <v>720</v>
      </c>
      <c r="E23" s="12" t="s">
        <v>1882</v>
      </c>
      <c r="F23" s="12" t="s">
        <v>1883</v>
      </c>
      <c r="G23" s="12" t="s">
        <v>1884</v>
      </c>
      <c r="H23" s="12" t="s">
        <v>1885</v>
      </c>
      <c r="I23" s="12" t="s">
        <v>1886</v>
      </c>
      <c r="J23" s="12" t="s">
        <v>1887</v>
      </c>
      <c r="K23" s="12" t="s">
        <v>1888</v>
      </c>
      <c r="L23" s="12" t="s">
        <v>1889</v>
      </c>
    </row>
    <row r="24" customFormat="false" ht="43.5" hidden="false" customHeight="true" outlineLevel="0" collapsed="false">
      <c r="A24" s="22" t="s">
        <v>1857</v>
      </c>
      <c r="B24" s="10" t="s">
        <v>723</v>
      </c>
      <c r="C24" s="43" t="s">
        <v>705</v>
      </c>
      <c r="D24" s="13" t="s">
        <v>724</v>
      </c>
      <c r="E24" s="12" t="s">
        <v>1890</v>
      </c>
      <c r="F24" s="12" t="s">
        <v>1891</v>
      </c>
      <c r="G24" s="12" t="s">
        <v>1892</v>
      </c>
      <c r="H24" s="12" t="s">
        <v>1893</v>
      </c>
      <c r="I24" s="12" t="s">
        <v>1894</v>
      </c>
      <c r="J24" s="12" t="s">
        <v>1895</v>
      </c>
      <c r="K24" s="12" t="s">
        <v>1896</v>
      </c>
      <c r="L24" s="12" t="s">
        <v>1897</v>
      </c>
    </row>
    <row r="25" customFormat="false" ht="82.5" hidden="false" customHeight="true" outlineLevel="0" collapsed="false">
      <c r="A25" s="22" t="s">
        <v>1857</v>
      </c>
      <c r="B25" s="10" t="s">
        <v>727</v>
      </c>
      <c r="C25" s="43" t="s">
        <v>705</v>
      </c>
      <c r="D25" s="13" t="s">
        <v>728</v>
      </c>
      <c r="E25" s="12" t="s">
        <v>1898</v>
      </c>
      <c r="F25" s="12" t="s">
        <v>1899</v>
      </c>
      <c r="G25" s="12" t="s">
        <v>1900</v>
      </c>
      <c r="H25" s="12" t="s">
        <v>1901</v>
      </c>
      <c r="I25" s="12" t="s">
        <v>1902</v>
      </c>
      <c r="J25" s="12" t="s">
        <v>1903</v>
      </c>
      <c r="K25" s="12" t="s">
        <v>1864</v>
      </c>
      <c r="L25" s="12" t="s">
        <v>1904</v>
      </c>
    </row>
    <row r="26" customFormat="false" ht="57" hidden="false" customHeight="true" outlineLevel="0" collapsed="false">
      <c r="A26" s="22" t="s">
        <v>1857</v>
      </c>
      <c r="B26" s="10" t="s">
        <v>733</v>
      </c>
      <c r="C26" s="43" t="s">
        <v>705</v>
      </c>
      <c r="D26" s="13" t="s">
        <v>734</v>
      </c>
      <c r="E26" s="12" t="s">
        <v>1905</v>
      </c>
      <c r="F26" s="12" t="s">
        <v>1906</v>
      </c>
      <c r="G26" s="12" t="s">
        <v>1907</v>
      </c>
      <c r="H26" s="12" t="s">
        <v>1908</v>
      </c>
      <c r="I26" s="12" t="s">
        <v>1909</v>
      </c>
      <c r="J26" s="12" t="s">
        <v>1910</v>
      </c>
      <c r="K26" s="12" t="s">
        <v>1911</v>
      </c>
      <c r="L26" s="12" t="s">
        <v>1912</v>
      </c>
    </row>
    <row r="27" customFormat="false" ht="57" hidden="false" customHeight="true" outlineLevel="0" collapsed="false">
      <c r="A27" s="22" t="s">
        <v>1857</v>
      </c>
      <c r="B27" s="10" t="s">
        <v>739</v>
      </c>
      <c r="C27" s="43" t="s">
        <v>705</v>
      </c>
      <c r="D27" s="13" t="s">
        <v>740</v>
      </c>
      <c r="E27" s="12" t="s">
        <v>1913</v>
      </c>
      <c r="F27" s="12" t="s">
        <v>1914</v>
      </c>
      <c r="G27" s="12" t="s">
        <v>1915</v>
      </c>
      <c r="H27" s="12" t="s">
        <v>1916</v>
      </c>
      <c r="I27" s="12" t="s">
        <v>1917</v>
      </c>
      <c r="J27" s="12" t="s">
        <v>1918</v>
      </c>
      <c r="K27" s="12" t="s">
        <v>1919</v>
      </c>
      <c r="L27" s="12" t="s">
        <v>1920</v>
      </c>
    </row>
    <row r="28" customFormat="false" ht="96" hidden="false" customHeight="true" outlineLevel="0" collapsed="false">
      <c r="A28" s="22" t="s">
        <v>1857</v>
      </c>
      <c r="B28" s="10" t="s">
        <v>744</v>
      </c>
      <c r="C28" s="46" t="s">
        <v>745</v>
      </c>
      <c r="D28" s="13" t="s">
        <v>746</v>
      </c>
      <c r="E28" s="12" t="s">
        <v>1921</v>
      </c>
      <c r="F28" s="12" t="s">
        <v>1922</v>
      </c>
      <c r="G28" s="12" t="s">
        <v>1923</v>
      </c>
      <c r="H28" s="12" t="s">
        <v>1924</v>
      </c>
      <c r="I28" s="12" t="s">
        <v>1925</v>
      </c>
      <c r="J28" s="12" t="s">
        <v>1926</v>
      </c>
      <c r="K28" s="12" t="s">
        <v>1927</v>
      </c>
      <c r="L28" s="12" t="s">
        <v>1928</v>
      </c>
    </row>
    <row r="29" customFormat="false" ht="82.5" hidden="false" customHeight="true" outlineLevel="0" collapsed="false">
      <c r="A29" s="22" t="s">
        <v>1857</v>
      </c>
      <c r="B29" s="10" t="s">
        <v>750</v>
      </c>
      <c r="C29" s="46" t="s">
        <v>745</v>
      </c>
      <c r="D29" s="13" t="s">
        <v>751</v>
      </c>
      <c r="E29" s="12" t="s">
        <v>1929</v>
      </c>
      <c r="F29" s="12" t="s">
        <v>1930</v>
      </c>
      <c r="G29" s="12" t="s">
        <v>1931</v>
      </c>
      <c r="H29" s="12" t="s">
        <v>1932</v>
      </c>
      <c r="I29" s="12" t="s">
        <v>1933</v>
      </c>
      <c r="J29" s="12" t="s">
        <v>1934</v>
      </c>
      <c r="K29" s="12" t="s">
        <v>1935</v>
      </c>
      <c r="L29" s="12" t="s">
        <v>1936</v>
      </c>
    </row>
    <row r="30" customFormat="false" ht="69.75" hidden="false" customHeight="true" outlineLevel="0" collapsed="false">
      <c r="A30" s="22" t="s">
        <v>1857</v>
      </c>
      <c r="B30" s="10" t="s">
        <v>755</v>
      </c>
      <c r="C30" s="46" t="s">
        <v>745</v>
      </c>
      <c r="D30" s="13" t="s">
        <v>756</v>
      </c>
      <c r="E30" s="12" t="s">
        <v>1937</v>
      </c>
      <c r="F30" s="12" t="s">
        <v>1938</v>
      </c>
      <c r="G30" s="12" t="s">
        <v>1939</v>
      </c>
      <c r="H30" s="12" t="s">
        <v>1940</v>
      </c>
      <c r="I30" s="12" t="s">
        <v>1941</v>
      </c>
      <c r="J30" s="12" t="s">
        <v>1942</v>
      </c>
      <c r="K30" s="12" t="s">
        <v>1943</v>
      </c>
      <c r="L30" s="12" t="s">
        <v>1944</v>
      </c>
    </row>
    <row r="31" customFormat="false" ht="57" hidden="false" customHeight="true" outlineLevel="0" collapsed="false">
      <c r="A31" s="22" t="s">
        <v>1857</v>
      </c>
      <c r="B31" s="10" t="s">
        <v>760</v>
      </c>
      <c r="C31" s="46" t="s">
        <v>745</v>
      </c>
      <c r="D31" s="13" t="s">
        <v>761</v>
      </c>
      <c r="E31" s="12" t="s">
        <v>1945</v>
      </c>
      <c r="F31" s="12" t="s">
        <v>1946</v>
      </c>
      <c r="G31" s="12" t="s">
        <v>1939</v>
      </c>
      <c r="H31" s="12" t="s">
        <v>1947</v>
      </c>
      <c r="I31" s="12" t="s">
        <v>1948</v>
      </c>
      <c r="J31" s="12" t="s">
        <v>1949</v>
      </c>
      <c r="K31" s="12" t="s">
        <v>1950</v>
      </c>
      <c r="L31" s="12" t="s">
        <v>1951</v>
      </c>
    </row>
    <row r="32" customFormat="false" ht="69.75" hidden="false" customHeight="true" outlineLevel="0" collapsed="false">
      <c r="A32" s="22" t="s">
        <v>1857</v>
      </c>
      <c r="B32" s="10" t="s">
        <v>765</v>
      </c>
      <c r="C32" s="46" t="s">
        <v>745</v>
      </c>
      <c r="D32" s="13" t="s">
        <v>766</v>
      </c>
      <c r="E32" s="12" t="s">
        <v>1952</v>
      </c>
      <c r="F32" s="12" t="s">
        <v>1953</v>
      </c>
      <c r="G32" s="12" t="s">
        <v>1954</v>
      </c>
      <c r="H32" s="12" t="s">
        <v>1955</v>
      </c>
      <c r="I32" s="12" t="s">
        <v>1956</v>
      </c>
      <c r="J32" s="12" t="s">
        <v>1957</v>
      </c>
      <c r="K32" s="12" t="s">
        <v>1958</v>
      </c>
      <c r="L32" s="12" t="s">
        <v>1959</v>
      </c>
    </row>
    <row r="33" customFormat="false" ht="69.75" hidden="false" customHeight="true" outlineLevel="0" collapsed="false">
      <c r="A33" s="22" t="s">
        <v>1857</v>
      </c>
      <c r="B33" s="10" t="s">
        <v>770</v>
      </c>
      <c r="C33" s="46" t="s">
        <v>745</v>
      </c>
      <c r="D33" s="13" t="s">
        <v>771</v>
      </c>
      <c r="E33" s="12" t="s">
        <v>1960</v>
      </c>
      <c r="F33" s="12" t="s">
        <v>1961</v>
      </c>
      <c r="G33" s="12" t="s">
        <v>1962</v>
      </c>
      <c r="H33" s="12" t="s">
        <v>1963</v>
      </c>
      <c r="I33" s="12" t="s">
        <v>1964</v>
      </c>
      <c r="J33" s="12" t="s">
        <v>1942</v>
      </c>
      <c r="K33" s="12" t="s">
        <v>1965</v>
      </c>
      <c r="L33" s="12" t="s">
        <v>1966</v>
      </c>
    </row>
    <row r="34" customFormat="false" ht="96" hidden="false" customHeight="true" outlineLevel="0" collapsed="false">
      <c r="A34" s="22" t="s">
        <v>1857</v>
      </c>
      <c r="B34" s="10" t="s">
        <v>775</v>
      </c>
      <c r="C34" s="46" t="s">
        <v>745</v>
      </c>
      <c r="D34" s="13" t="s">
        <v>776</v>
      </c>
      <c r="E34" s="12" t="s">
        <v>1967</v>
      </c>
      <c r="F34" s="12" t="s">
        <v>1968</v>
      </c>
      <c r="G34" s="12" t="s">
        <v>1969</v>
      </c>
      <c r="H34" s="12" t="s">
        <v>1970</v>
      </c>
      <c r="I34" s="12" t="s">
        <v>1971</v>
      </c>
      <c r="J34" s="12" t="s">
        <v>1942</v>
      </c>
      <c r="K34" s="12" t="s">
        <v>1972</v>
      </c>
      <c r="L34" s="12" t="s">
        <v>1973</v>
      </c>
    </row>
    <row r="35" customFormat="false" ht="69.75" hidden="false" customHeight="true" outlineLevel="0" collapsed="false">
      <c r="A35" s="22" t="s">
        <v>1857</v>
      </c>
      <c r="B35" s="10" t="s">
        <v>780</v>
      </c>
      <c r="C35" s="46" t="s">
        <v>745</v>
      </c>
      <c r="D35" s="13" t="s">
        <v>781</v>
      </c>
      <c r="E35" s="12" t="s">
        <v>1974</v>
      </c>
      <c r="F35" s="12" t="s">
        <v>1975</v>
      </c>
      <c r="G35" s="12" t="s">
        <v>1969</v>
      </c>
      <c r="H35" s="12" t="s">
        <v>1976</v>
      </c>
      <c r="I35" s="12" t="s">
        <v>1977</v>
      </c>
      <c r="J35" s="12" t="s">
        <v>1978</v>
      </c>
      <c r="K35" s="12" t="s">
        <v>1979</v>
      </c>
      <c r="L35" s="12" t="s">
        <v>1980</v>
      </c>
    </row>
    <row r="36" customFormat="false" ht="57" hidden="false" customHeight="true" outlineLevel="0" collapsed="false">
      <c r="A36" s="22" t="s">
        <v>1857</v>
      </c>
      <c r="B36" s="10" t="s">
        <v>785</v>
      </c>
      <c r="C36" s="46" t="s">
        <v>745</v>
      </c>
      <c r="D36" s="13" t="s">
        <v>786</v>
      </c>
      <c r="E36" s="12" t="s">
        <v>1981</v>
      </c>
      <c r="F36" s="12" t="s">
        <v>1982</v>
      </c>
      <c r="G36" s="12" t="s">
        <v>1983</v>
      </c>
      <c r="H36" s="12" t="s">
        <v>1984</v>
      </c>
      <c r="I36" s="12" t="s">
        <v>1985</v>
      </c>
      <c r="J36" s="12" t="s">
        <v>1986</v>
      </c>
      <c r="K36" s="12" t="s">
        <v>1987</v>
      </c>
      <c r="L36" s="12" t="s">
        <v>1988</v>
      </c>
    </row>
    <row r="37" customFormat="false" ht="69.75" hidden="false" customHeight="true" outlineLevel="0" collapsed="false">
      <c r="A37" s="22" t="s">
        <v>1857</v>
      </c>
      <c r="B37" s="10" t="s">
        <v>790</v>
      </c>
      <c r="C37" s="47" t="s">
        <v>791</v>
      </c>
      <c r="D37" s="13" t="s">
        <v>792</v>
      </c>
      <c r="E37" s="12" t="s">
        <v>1989</v>
      </c>
      <c r="F37" s="12" t="s">
        <v>1990</v>
      </c>
      <c r="G37" s="12" t="s">
        <v>1991</v>
      </c>
      <c r="H37" s="12" t="s">
        <v>1992</v>
      </c>
      <c r="I37" s="12" t="s">
        <v>1993</v>
      </c>
      <c r="J37" s="12" t="s">
        <v>1994</v>
      </c>
      <c r="K37" s="12" t="s">
        <v>1864</v>
      </c>
      <c r="L37" s="12" t="s">
        <v>1995</v>
      </c>
    </row>
    <row r="38" customFormat="false" ht="43.5" hidden="false" customHeight="true" outlineLevel="0" collapsed="false">
      <c r="A38" s="22" t="s">
        <v>1857</v>
      </c>
      <c r="B38" s="10" t="s">
        <v>795</v>
      </c>
      <c r="C38" s="47" t="s">
        <v>791</v>
      </c>
      <c r="D38" s="13" t="s">
        <v>796</v>
      </c>
      <c r="E38" s="12" t="s">
        <v>1996</v>
      </c>
      <c r="F38" s="12" t="s">
        <v>1997</v>
      </c>
      <c r="G38" s="12" t="s">
        <v>1998</v>
      </c>
      <c r="H38" s="12" t="s">
        <v>1999</v>
      </c>
      <c r="I38" s="12" t="s">
        <v>2000</v>
      </c>
      <c r="J38" s="12" t="s">
        <v>2001</v>
      </c>
      <c r="K38" s="12" t="s">
        <v>2002</v>
      </c>
      <c r="L38" s="12" t="s">
        <v>2003</v>
      </c>
    </row>
    <row r="39" customFormat="false" ht="43.5" hidden="false" customHeight="true" outlineLevel="0" collapsed="false">
      <c r="A39" s="22" t="s">
        <v>1857</v>
      </c>
      <c r="B39" s="10" t="s">
        <v>799</v>
      </c>
      <c r="C39" s="47" t="s">
        <v>791</v>
      </c>
      <c r="D39" s="13" t="s">
        <v>800</v>
      </c>
      <c r="E39" s="12" t="s">
        <v>2004</v>
      </c>
      <c r="F39" s="12" t="s">
        <v>2005</v>
      </c>
      <c r="G39" s="12" t="s">
        <v>2006</v>
      </c>
      <c r="H39" s="12" t="s">
        <v>2007</v>
      </c>
      <c r="I39" s="12" t="s">
        <v>2008</v>
      </c>
      <c r="J39" s="12" t="s">
        <v>2009</v>
      </c>
      <c r="K39" s="12" t="s">
        <v>2010</v>
      </c>
      <c r="L39" s="12" t="s">
        <v>2011</v>
      </c>
    </row>
    <row r="40" customFormat="false" ht="69.75" hidden="false" customHeight="true" outlineLevel="0" collapsed="false">
      <c r="A40" s="22" t="s">
        <v>1857</v>
      </c>
      <c r="B40" s="10" t="s">
        <v>804</v>
      </c>
      <c r="C40" s="47" t="s">
        <v>791</v>
      </c>
      <c r="D40" s="13" t="s">
        <v>805</v>
      </c>
      <c r="E40" s="12" t="s">
        <v>2012</v>
      </c>
      <c r="F40" s="12" t="s">
        <v>2013</v>
      </c>
      <c r="G40" s="12" t="s">
        <v>2014</v>
      </c>
      <c r="H40" s="12" t="s">
        <v>2015</v>
      </c>
      <c r="I40" s="12" t="s">
        <v>2016</v>
      </c>
      <c r="J40" s="12" t="s">
        <v>2009</v>
      </c>
      <c r="K40" s="12" t="s">
        <v>2017</v>
      </c>
      <c r="L40" s="12" t="s">
        <v>2018</v>
      </c>
    </row>
    <row r="41" customFormat="false" ht="43.5" hidden="false" customHeight="true" outlineLevel="0" collapsed="false">
      <c r="A41" s="22" t="s">
        <v>1857</v>
      </c>
      <c r="B41" s="10" t="s">
        <v>808</v>
      </c>
      <c r="C41" s="47" t="s">
        <v>791</v>
      </c>
      <c r="D41" s="13" t="s">
        <v>809</v>
      </c>
      <c r="E41" s="12" t="s">
        <v>2019</v>
      </c>
      <c r="F41" s="12" t="s">
        <v>2020</v>
      </c>
      <c r="G41" s="12" t="s">
        <v>1998</v>
      </c>
      <c r="H41" s="12" t="s">
        <v>2021</v>
      </c>
      <c r="I41" s="12" t="s">
        <v>2022</v>
      </c>
      <c r="J41" s="12" t="s">
        <v>2023</v>
      </c>
      <c r="K41" s="12" t="s">
        <v>2024</v>
      </c>
      <c r="L41" s="12" t="s">
        <v>2025</v>
      </c>
    </row>
    <row r="42" customFormat="false" ht="57" hidden="false" customHeight="true" outlineLevel="0" collapsed="false">
      <c r="A42" s="22" t="s">
        <v>1857</v>
      </c>
      <c r="B42" s="10" t="s">
        <v>411</v>
      </c>
      <c r="C42" s="48" t="s">
        <v>812</v>
      </c>
      <c r="D42" s="13" t="s">
        <v>813</v>
      </c>
      <c r="E42" s="12" t="s">
        <v>2026</v>
      </c>
      <c r="F42" s="12" t="s">
        <v>2027</v>
      </c>
      <c r="G42" s="12" t="s">
        <v>2028</v>
      </c>
      <c r="H42" s="12" t="s">
        <v>2029</v>
      </c>
      <c r="I42" s="12" t="s">
        <v>2030</v>
      </c>
      <c r="J42" s="12" t="s">
        <v>2031</v>
      </c>
      <c r="K42" s="12" t="s">
        <v>2032</v>
      </c>
      <c r="L42" s="12" t="s">
        <v>2033</v>
      </c>
    </row>
    <row r="43" customFormat="false" ht="57" hidden="false" customHeight="true" outlineLevel="0" collapsed="false">
      <c r="A43" s="22" t="s">
        <v>1857</v>
      </c>
      <c r="B43" s="10" t="s">
        <v>817</v>
      </c>
      <c r="C43" s="48" t="s">
        <v>812</v>
      </c>
      <c r="D43" s="13" t="s">
        <v>818</v>
      </c>
      <c r="E43" s="12" t="s">
        <v>2034</v>
      </c>
      <c r="F43" s="12" t="s">
        <v>2035</v>
      </c>
      <c r="G43" s="12" t="s">
        <v>2036</v>
      </c>
      <c r="H43" s="12" t="s">
        <v>2037</v>
      </c>
      <c r="I43" s="12" t="s">
        <v>2038</v>
      </c>
      <c r="J43" s="12" t="s">
        <v>2039</v>
      </c>
      <c r="K43" s="12" t="s">
        <v>2040</v>
      </c>
      <c r="L43" s="12" t="s">
        <v>2041</v>
      </c>
    </row>
    <row r="44" customFormat="false" ht="69.75" hidden="false" customHeight="true" outlineLevel="0" collapsed="false">
      <c r="A44" s="22" t="s">
        <v>1857</v>
      </c>
      <c r="B44" s="10" t="s">
        <v>821</v>
      </c>
      <c r="C44" s="48" t="s">
        <v>812</v>
      </c>
      <c r="D44" s="13" t="s">
        <v>822</v>
      </c>
      <c r="E44" s="12" t="s">
        <v>2042</v>
      </c>
      <c r="F44" s="12" t="s">
        <v>2043</v>
      </c>
      <c r="G44" s="12" t="s">
        <v>2044</v>
      </c>
      <c r="H44" s="12" t="s">
        <v>2045</v>
      </c>
      <c r="I44" s="12" t="s">
        <v>2046</v>
      </c>
      <c r="J44" s="12" t="s">
        <v>2047</v>
      </c>
      <c r="K44" s="12" t="s">
        <v>2048</v>
      </c>
      <c r="L44" s="12" t="s">
        <v>2049</v>
      </c>
    </row>
    <row r="45" customFormat="false" ht="57" hidden="false" customHeight="true" outlineLevel="0" collapsed="false">
      <c r="A45" s="22" t="s">
        <v>1857</v>
      </c>
      <c r="B45" s="10" t="s">
        <v>826</v>
      </c>
      <c r="C45" s="48" t="s">
        <v>812</v>
      </c>
      <c r="D45" s="13" t="s">
        <v>827</v>
      </c>
      <c r="E45" s="12" t="s">
        <v>2050</v>
      </c>
      <c r="F45" s="12" t="s">
        <v>2051</v>
      </c>
      <c r="G45" s="12" t="s">
        <v>2044</v>
      </c>
      <c r="H45" s="12" t="s">
        <v>2052</v>
      </c>
      <c r="I45" s="12" t="s">
        <v>2053</v>
      </c>
      <c r="J45" s="12" t="s">
        <v>2054</v>
      </c>
      <c r="K45" s="12" t="s">
        <v>2055</v>
      </c>
      <c r="L45" s="12" t="s">
        <v>2056</v>
      </c>
    </row>
    <row r="46" customFormat="false" ht="57" hidden="false" customHeight="true" outlineLevel="0" collapsed="false">
      <c r="A46" s="22" t="s">
        <v>1857</v>
      </c>
      <c r="B46" s="10" t="s">
        <v>831</v>
      </c>
      <c r="C46" s="48" t="s">
        <v>812</v>
      </c>
      <c r="D46" s="13" t="s">
        <v>832</v>
      </c>
      <c r="E46" s="12" t="s">
        <v>2057</v>
      </c>
      <c r="F46" s="12" t="s">
        <v>2058</v>
      </c>
      <c r="G46" s="12" t="s">
        <v>2059</v>
      </c>
      <c r="H46" s="12" t="s">
        <v>2060</v>
      </c>
      <c r="I46" s="12" t="s">
        <v>2061</v>
      </c>
      <c r="J46" s="12" t="s">
        <v>2062</v>
      </c>
      <c r="K46" s="12" t="s">
        <v>2063</v>
      </c>
      <c r="L46" s="12" t="s">
        <v>2064</v>
      </c>
    </row>
    <row r="47" customFormat="false" ht="69.75" hidden="false" customHeight="true" outlineLevel="0" collapsed="false">
      <c r="A47" s="22" t="s">
        <v>1857</v>
      </c>
      <c r="B47" s="10" t="s">
        <v>836</v>
      </c>
      <c r="C47" s="48" t="s">
        <v>812</v>
      </c>
      <c r="D47" s="13" t="s">
        <v>837</v>
      </c>
      <c r="E47" s="12" t="s">
        <v>2065</v>
      </c>
      <c r="F47" s="12" t="s">
        <v>2066</v>
      </c>
      <c r="G47" s="12" t="s">
        <v>2067</v>
      </c>
      <c r="H47" s="12" t="s">
        <v>2068</v>
      </c>
      <c r="I47" s="12" t="s">
        <v>2069</v>
      </c>
      <c r="J47" s="12" t="s">
        <v>2070</v>
      </c>
      <c r="K47" s="12" t="s">
        <v>2071</v>
      </c>
      <c r="L47" s="12" t="s">
        <v>2072</v>
      </c>
    </row>
    <row r="48" customFormat="false" ht="57" hidden="false" customHeight="true" outlineLevel="0" collapsed="false">
      <c r="A48" s="22" t="s">
        <v>1857</v>
      </c>
      <c r="B48" s="10" t="s">
        <v>841</v>
      </c>
      <c r="C48" s="48" t="s">
        <v>812</v>
      </c>
      <c r="D48" s="13" t="s">
        <v>842</v>
      </c>
      <c r="E48" s="12" t="s">
        <v>2073</v>
      </c>
      <c r="F48" s="12" t="s">
        <v>2074</v>
      </c>
      <c r="G48" s="12" t="s">
        <v>2075</v>
      </c>
      <c r="H48" s="12" t="s">
        <v>2076</v>
      </c>
      <c r="I48" s="12" t="s">
        <v>2077</v>
      </c>
      <c r="J48" s="12" t="s">
        <v>2078</v>
      </c>
      <c r="K48" s="12" t="s">
        <v>2079</v>
      </c>
      <c r="L48" s="12" t="s">
        <v>2080</v>
      </c>
    </row>
    <row r="49" customFormat="false" ht="96" hidden="false" customHeight="true" outlineLevel="0" collapsed="false">
      <c r="A49" s="22" t="s">
        <v>1857</v>
      </c>
      <c r="B49" s="10" t="s">
        <v>846</v>
      </c>
      <c r="C49" s="48" t="s">
        <v>812</v>
      </c>
      <c r="D49" s="13" t="s">
        <v>847</v>
      </c>
      <c r="E49" s="12" t="s">
        <v>2081</v>
      </c>
      <c r="F49" s="12" t="s">
        <v>2082</v>
      </c>
      <c r="G49" s="12" t="s">
        <v>2083</v>
      </c>
      <c r="H49" s="12" t="s">
        <v>2084</v>
      </c>
      <c r="I49" s="12" t="s">
        <v>2085</v>
      </c>
      <c r="J49" s="12" t="s">
        <v>2086</v>
      </c>
      <c r="K49" s="12" t="s">
        <v>2087</v>
      </c>
      <c r="L49" s="12" t="s">
        <v>2041</v>
      </c>
    </row>
    <row r="50" customFormat="false" ht="69.75" hidden="false" customHeight="true" outlineLevel="0" collapsed="false">
      <c r="A50" s="22" t="s">
        <v>1857</v>
      </c>
      <c r="B50" s="10" t="s">
        <v>851</v>
      </c>
      <c r="C50" s="49" t="s">
        <v>852</v>
      </c>
      <c r="D50" s="13" t="s">
        <v>853</v>
      </c>
      <c r="E50" s="12" t="s">
        <v>2088</v>
      </c>
      <c r="F50" s="12" t="s">
        <v>2089</v>
      </c>
      <c r="G50" s="12" t="s">
        <v>2090</v>
      </c>
      <c r="H50" s="12" t="s">
        <v>2091</v>
      </c>
      <c r="I50" s="12" t="s">
        <v>2092</v>
      </c>
      <c r="J50" s="12" t="s">
        <v>2093</v>
      </c>
      <c r="K50" s="12" t="s">
        <v>2094</v>
      </c>
      <c r="L50" s="12" t="s">
        <v>2095</v>
      </c>
    </row>
    <row r="51" customFormat="false" ht="57" hidden="false" customHeight="true" outlineLevel="0" collapsed="false">
      <c r="A51" s="22" t="s">
        <v>1857</v>
      </c>
      <c r="B51" s="10" t="s">
        <v>857</v>
      </c>
      <c r="C51" s="49" t="s">
        <v>852</v>
      </c>
      <c r="D51" s="13" t="s">
        <v>858</v>
      </c>
      <c r="E51" s="12" t="s">
        <v>2096</v>
      </c>
      <c r="F51" s="12" t="s">
        <v>2097</v>
      </c>
      <c r="G51" s="12" t="s">
        <v>2098</v>
      </c>
      <c r="H51" s="12" t="s">
        <v>2099</v>
      </c>
      <c r="I51" s="12" t="s">
        <v>2100</v>
      </c>
      <c r="J51" s="12" t="s">
        <v>1978</v>
      </c>
      <c r="K51" s="12" t="s">
        <v>2101</v>
      </c>
      <c r="L51" s="12" t="s">
        <v>2102</v>
      </c>
    </row>
    <row r="52" customFormat="false" ht="57" hidden="false" customHeight="true" outlineLevel="0" collapsed="false">
      <c r="A52" s="22" t="s">
        <v>1857</v>
      </c>
      <c r="B52" s="10" t="s">
        <v>862</v>
      </c>
      <c r="C52" s="49" t="s">
        <v>852</v>
      </c>
      <c r="D52" s="13" t="s">
        <v>863</v>
      </c>
      <c r="E52" s="12" t="s">
        <v>2103</v>
      </c>
      <c r="F52" s="12" t="s">
        <v>2104</v>
      </c>
      <c r="G52" s="12" t="s">
        <v>2105</v>
      </c>
      <c r="H52" s="12" t="s">
        <v>2106</v>
      </c>
      <c r="I52" s="12" t="s">
        <v>2107</v>
      </c>
      <c r="J52" s="12" t="s">
        <v>2108</v>
      </c>
      <c r="K52" s="12" t="s">
        <v>2109</v>
      </c>
      <c r="L52" s="12" t="s">
        <v>2110</v>
      </c>
    </row>
    <row r="53" customFormat="false" ht="43.5" hidden="false" customHeight="true" outlineLevel="0" collapsed="false">
      <c r="A53" s="22" t="s">
        <v>1857</v>
      </c>
      <c r="B53" s="10" t="s">
        <v>867</v>
      </c>
      <c r="C53" s="49" t="s">
        <v>852</v>
      </c>
      <c r="D53" s="13" t="s">
        <v>868</v>
      </c>
      <c r="E53" s="12" t="s">
        <v>2111</v>
      </c>
      <c r="F53" s="12" t="s">
        <v>1968</v>
      </c>
      <c r="G53" s="12" t="s">
        <v>2112</v>
      </c>
      <c r="H53" s="12" t="s">
        <v>2113</v>
      </c>
      <c r="I53" s="12" t="s">
        <v>2114</v>
      </c>
      <c r="J53" s="12" t="s">
        <v>1942</v>
      </c>
      <c r="K53" s="12" t="s">
        <v>2115</v>
      </c>
      <c r="L53" s="12" t="s">
        <v>2116</v>
      </c>
    </row>
    <row r="54" customFormat="false" ht="57" hidden="false" customHeight="true" outlineLevel="0" collapsed="false">
      <c r="A54" s="22" t="s">
        <v>1857</v>
      </c>
      <c r="B54" s="10" t="s">
        <v>871</v>
      </c>
      <c r="C54" s="49" t="s">
        <v>852</v>
      </c>
      <c r="D54" s="13" t="s">
        <v>872</v>
      </c>
      <c r="E54" s="12" t="s">
        <v>2117</v>
      </c>
      <c r="F54" s="12" t="s">
        <v>2118</v>
      </c>
      <c r="G54" s="12" t="s">
        <v>1969</v>
      </c>
      <c r="H54" s="12" t="s">
        <v>2119</v>
      </c>
      <c r="I54" s="12" t="s">
        <v>2120</v>
      </c>
      <c r="J54" s="12" t="s">
        <v>2121</v>
      </c>
      <c r="K54" s="12" t="s">
        <v>2122</v>
      </c>
      <c r="L54" s="12" t="s">
        <v>2123</v>
      </c>
    </row>
    <row r="55" customFormat="false" ht="57" hidden="false" customHeight="true" outlineLevel="0" collapsed="false">
      <c r="A55" s="22" t="s">
        <v>1857</v>
      </c>
      <c r="B55" s="10" t="s">
        <v>876</v>
      </c>
      <c r="C55" s="49" t="s">
        <v>852</v>
      </c>
      <c r="D55" s="13" t="s">
        <v>877</v>
      </c>
      <c r="E55" s="12" t="s">
        <v>2124</v>
      </c>
      <c r="F55" s="12" t="s">
        <v>2125</v>
      </c>
      <c r="G55" s="12" t="s">
        <v>2126</v>
      </c>
      <c r="H55" s="12" t="s">
        <v>2127</v>
      </c>
      <c r="I55" s="12" t="s">
        <v>2128</v>
      </c>
      <c r="J55" s="12" t="s">
        <v>2129</v>
      </c>
      <c r="K55" s="12" t="s">
        <v>2130</v>
      </c>
      <c r="L55" s="12" t="s">
        <v>2131</v>
      </c>
    </row>
    <row r="56" customFormat="false" ht="57" hidden="false" customHeight="true" outlineLevel="0" collapsed="false">
      <c r="A56" s="22" t="s">
        <v>1857</v>
      </c>
      <c r="B56" s="10" t="s">
        <v>881</v>
      </c>
      <c r="C56" s="49" t="s">
        <v>852</v>
      </c>
      <c r="D56" s="13" t="s">
        <v>882</v>
      </c>
      <c r="E56" s="12" t="s">
        <v>2132</v>
      </c>
      <c r="F56" s="12" t="s">
        <v>2133</v>
      </c>
      <c r="G56" s="12" t="s">
        <v>2134</v>
      </c>
      <c r="H56" s="12" t="s">
        <v>2135</v>
      </c>
      <c r="I56" s="12" t="s">
        <v>2136</v>
      </c>
      <c r="J56" s="12" t="s">
        <v>2137</v>
      </c>
      <c r="K56" s="12" t="s">
        <v>2138</v>
      </c>
      <c r="L56" s="12" t="s">
        <v>2139</v>
      </c>
    </row>
    <row r="57" customFormat="false" ht="69.75" hidden="false" customHeight="true" outlineLevel="0" collapsed="false">
      <c r="A57" s="22" t="s">
        <v>1857</v>
      </c>
      <c r="B57" s="10" t="s">
        <v>886</v>
      </c>
      <c r="C57" s="49" t="s">
        <v>852</v>
      </c>
      <c r="D57" s="13" t="s">
        <v>887</v>
      </c>
      <c r="E57" s="12" t="s">
        <v>2140</v>
      </c>
      <c r="F57" s="12" t="s">
        <v>2141</v>
      </c>
      <c r="G57" s="12" t="s">
        <v>2142</v>
      </c>
      <c r="H57" s="12" t="s">
        <v>2143</v>
      </c>
      <c r="I57" s="12" t="s">
        <v>2144</v>
      </c>
      <c r="J57" s="12" t="s">
        <v>2145</v>
      </c>
      <c r="K57" s="12" t="s">
        <v>2146</v>
      </c>
      <c r="L57" s="12" t="s">
        <v>2147</v>
      </c>
    </row>
    <row r="58" customFormat="false" ht="82.5" hidden="false" customHeight="true" outlineLevel="0" collapsed="false">
      <c r="A58" s="22" t="s">
        <v>1857</v>
      </c>
      <c r="B58" s="10" t="s">
        <v>890</v>
      </c>
      <c r="C58" s="49" t="s">
        <v>852</v>
      </c>
      <c r="D58" s="13" t="s">
        <v>891</v>
      </c>
      <c r="E58" s="12" t="s">
        <v>2148</v>
      </c>
      <c r="F58" s="12" t="s">
        <v>2149</v>
      </c>
      <c r="G58" s="12" t="s">
        <v>2150</v>
      </c>
      <c r="H58" s="12" t="s">
        <v>2151</v>
      </c>
      <c r="I58" s="12" t="s">
        <v>2152</v>
      </c>
      <c r="J58" s="12" t="s">
        <v>2153</v>
      </c>
      <c r="K58" s="12" t="s">
        <v>2079</v>
      </c>
      <c r="L58" s="12" t="s">
        <v>2154</v>
      </c>
    </row>
    <row r="59" customFormat="false" ht="82.5" hidden="false" customHeight="true" outlineLevel="0" collapsed="false">
      <c r="A59" s="22" t="s">
        <v>1857</v>
      </c>
      <c r="B59" s="10" t="s">
        <v>895</v>
      </c>
      <c r="C59" s="49" t="s">
        <v>852</v>
      </c>
      <c r="D59" s="13" t="s">
        <v>896</v>
      </c>
      <c r="E59" s="12" t="s">
        <v>2155</v>
      </c>
      <c r="F59" s="12" t="s">
        <v>2156</v>
      </c>
      <c r="G59" s="12" t="s">
        <v>2157</v>
      </c>
      <c r="H59" s="12" t="s">
        <v>2158</v>
      </c>
      <c r="I59" s="12" t="s">
        <v>2159</v>
      </c>
      <c r="J59" s="12" t="s">
        <v>2160</v>
      </c>
      <c r="K59" s="12" t="s">
        <v>2161</v>
      </c>
      <c r="L59" s="12" t="s">
        <v>2162</v>
      </c>
    </row>
    <row r="60" customFormat="false" ht="69.75" hidden="false" customHeight="true" outlineLevel="0" collapsed="false">
      <c r="A60" s="22" t="s">
        <v>1857</v>
      </c>
      <c r="B60" s="10" t="s">
        <v>900</v>
      </c>
      <c r="C60" s="50" t="s">
        <v>901</v>
      </c>
      <c r="D60" s="13" t="s">
        <v>902</v>
      </c>
      <c r="E60" s="12" t="s">
        <v>2163</v>
      </c>
      <c r="F60" s="12" t="s">
        <v>2164</v>
      </c>
      <c r="G60" s="12" t="s">
        <v>2165</v>
      </c>
      <c r="H60" s="12" t="s">
        <v>2166</v>
      </c>
      <c r="I60" s="12" t="s">
        <v>2167</v>
      </c>
      <c r="J60" s="12" t="s">
        <v>1942</v>
      </c>
      <c r="K60" s="12" t="s">
        <v>2168</v>
      </c>
      <c r="L60" s="12" t="s">
        <v>2169</v>
      </c>
    </row>
    <row r="61" customFormat="false" ht="69.75" hidden="false" customHeight="true" outlineLevel="0" collapsed="false">
      <c r="A61" s="22" t="s">
        <v>1857</v>
      </c>
      <c r="B61" s="10" t="s">
        <v>906</v>
      </c>
      <c r="C61" s="50" t="s">
        <v>901</v>
      </c>
      <c r="D61" s="13" t="s">
        <v>907</v>
      </c>
      <c r="E61" s="12" t="s">
        <v>2170</v>
      </c>
      <c r="F61" s="12" t="s">
        <v>2171</v>
      </c>
      <c r="G61" s="12" t="s">
        <v>2172</v>
      </c>
      <c r="H61" s="12" t="s">
        <v>2173</v>
      </c>
      <c r="I61" s="12" t="s">
        <v>2174</v>
      </c>
      <c r="J61" s="12" t="s">
        <v>1942</v>
      </c>
      <c r="K61" s="12" t="s">
        <v>2175</v>
      </c>
      <c r="L61" s="12" t="s">
        <v>2176</v>
      </c>
    </row>
    <row r="62" customFormat="false" ht="43.5" hidden="false" customHeight="true" outlineLevel="0" collapsed="false">
      <c r="A62" s="22" t="s">
        <v>1857</v>
      </c>
      <c r="B62" s="10" t="s">
        <v>911</v>
      </c>
      <c r="C62" s="50" t="s">
        <v>901</v>
      </c>
      <c r="D62" s="13" t="s">
        <v>912</v>
      </c>
      <c r="E62" s="12" t="s">
        <v>2177</v>
      </c>
      <c r="F62" s="12" t="s">
        <v>2171</v>
      </c>
      <c r="G62" s="12" t="s">
        <v>2178</v>
      </c>
      <c r="H62" s="12" t="s">
        <v>2179</v>
      </c>
      <c r="I62" s="12" t="s">
        <v>2174</v>
      </c>
      <c r="J62" s="12" t="s">
        <v>2180</v>
      </c>
      <c r="K62" s="12" t="s">
        <v>2181</v>
      </c>
      <c r="L62" s="12" t="s">
        <v>2169</v>
      </c>
    </row>
    <row r="63" customFormat="false" ht="57" hidden="false" customHeight="true" outlineLevel="0" collapsed="false">
      <c r="A63" s="22" t="s">
        <v>1857</v>
      </c>
      <c r="B63" s="10" t="s">
        <v>916</v>
      </c>
      <c r="C63" s="50" t="s">
        <v>901</v>
      </c>
      <c r="D63" s="13" t="s">
        <v>917</v>
      </c>
      <c r="E63" s="12" t="s">
        <v>2182</v>
      </c>
      <c r="F63" s="12" t="s">
        <v>2171</v>
      </c>
      <c r="G63" s="12" t="s">
        <v>2183</v>
      </c>
      <c r="H63" s="12" t="s">
        <v>2184</v>
      </c>
      <c r="I63" s="12" t="s">
        <v>2174</v>
      </c>
      <c r="J63" s="12" t="s">
        <v>2180</v>
      </c>
      <c r="K63" s="12" t="s">
        <v>2185</v>
      </c>
      <c r="L63" s="12" t="s">
        <v>2186</v>
      </c>
    </row>
    <row r="64" customFormat="false" ht="57" hidden="false" customHeight="true" outlineLevel="0" collapsed="false">
      <c r="A64" s="22" t="s">
        <v>1857</v>
      </c>
      <c r="B64" s="10" t="s">
        <v>921</v>
      </c>
      <c r="C64" s="50" t="s">
        <v>901</v>
      </c>
      <c r="D64" s="13" t="s">
        <v>922</v>
      </c>
      <c r="E64" s="12" t="s">
        <v>2187</v>
      </c>
      <c r="F64" s="12" t="s">
        <v>2171</v>
      </c>
      <c r="G64" s="12" t="s">
        <v>2172</v>
      </c>
      <c r="H64" s="12" t="s">
        <v>2188</v>
      </c>
      <c r="I64" s="12" t="s">
        <v>2189</v>
      </c>
      <c r="J64" s="12" t="s">
        <v>2180</v>
      </c>
      <c r="K64" s="12" t="s">
        <v>2190</v>
      </c>
      <c r="L64" s="12" t="s">
        <v>2191</v>
      </c>
    </row>
    <row r="65" customFormat="false" ht="82.5" hidden="false" customHeight="true" outlineLevel="0" collapsed="false">
      <c r="A65" s="22" t="s">
        <v>1857</v>
      </c>
      <c r="B65" s="10" t="s">
        <v>926</v>
      </c>
      <c r="C65" s="50" t="s">
        <v>901</v>
      </c>
      <c r="D65" s="13" t="s">
        <v>927</v>
      </c>
      <c r="E65" s="12" t="s">
        <v>2192</v>
      </c>
      <c r="F65" s="12" t="s">
        <v>2193</v>
      </c>
      <c r="G65" s="12" t="s">
        <v>2194</v>
      </c>
      <c r="H65" s="12" t="s">
        <v>2195</v>
      </c>
      <c r="I65" s="12" t="s">
        <v>2196</v>
      </c>
      <c r="J65" s="12" t="s">
        <v>2197</v>
      </c>
      <c r="K65" s="12" t="s">
        <v>2198</v>
      </c>
      <c r="L65" s="12" t="s">
        <v>2199</v>
      </c>
    </row>
    <row r="66" customFormat="false" ht="69.75" hidden="false" customHeight="true" outlineLevel="0" collapsed="false">
      <c r="A66" s="22" t="s">
        <v>1857</v>
      </c>
      <c r="B66" s="10" t="s">
        <v>931</v>
      </c>
      <c r="C66" s="50" t="s">
        <v>901</v>
      </c>
      <c r="D66" s="13" t="s">
        <v>932</v>
      </c>
      <c r="E66" s="12" t="s">
        <v>2200</v>
      </c>
      <c r="F66" s="12" t="s">
        <v>2201</v>
      </c>
      <c r="G66" s="12" t="s">
        <v>2202</v>
      </c>
      <c r="H66" s="12" t="s">
        <v>2203</v>
      </c>
      <c r="I66" s="12" t="s">
        <v>2204</v>
      </c>
      <c r="J66" s="12" t="s">
        <v>2205</v>
      </c>
      <c r="K66" s="12" t="s">
        <v>2206</v>
      </c>
      <c r="L66" s="12" t="s">
        <v>2207</v>
      </c>
    </row>
    <row r="67" customFormat="false" ht="69.75" hidden="false" customHeight="true" outlineLevel="0" collapsed="false">
      <c r="A67" s="22" t="s">
        <v>1857</v>
      </c>
      <c r="B67" s="10" t="s">
        <v>936</v>
      </c>
      <c r="C67" s="50" t="s">
        <v>901</v>
      </c>
      <c r="D67" s="13" t="s">
        <v>937</v>
      </c>
      <c r="E67" s="12" t="s">
        <v>2208</v>
      </c>
      <c r="F67" s="12" t="s">
        <v>2209</v>
      </c>
      <c r="G67" s="12" t="s">
        <v>2210</v>
      </c>
      <c r="H67" s="12" t="s">
        <v>2211</v>
      </c>
      <c r="I67" s="12" t="s">
        <v>2212</v>
      </c>
      <c r="J67" s="12" t="s">
        <v>2213</v>
      </c>
      <c r="K67" s="12" t="s">
        <v>2214</v>
      </c>
      <c r="L67" s="12" t="s">
        <v>2215</v>
      </c>
    </row>
    <row r="68" customFormat="false" ht="57" hidden="false" customHeight="true" outlineLevel="0" collapsed="false">
      <c r="A68" s="22" t="s">
        <v>1857</v>
      </c>
      <c r="B68" s="10" t="s">
        <v>941</v>
      </c>
      <c r="C68" s="50" t="s">
        <v>901</v>
      </c>
      <c r="D68" s="13" t="s">
        <v>942</v>
      </c>
      <c r="E68" s="12" t="s">
        <v>2216</v>
      </c>
      <c r="F68" s="12" t="s">
        <v>2217</v>
      </c>
      <c r="G68" s="12" t="s">
        <v>2218</v>
      </c>
      <c r="H68" s="12" t="s">
        <v>2219</v>
      </c>
      <c r="I68" s="12" t="s">
        <v>2220</v>
      </c>
      <c r="J68" s="12" t="s">
        <v>2221</v>
      </c>
      <c r="K68" s="12" t="s">
        <v>2222</v>
      </c>
      <c r="L68" s="12" t="s">
        <v>2223</v>
      </c>
    </row>
    <row r="69" customFormat="false" ht="82.5" hidden="false" customHeight="true" outlineLevel="0" collapsed="false">
      <c r="A69" s="22" t="s">
        <v>1857</v>
      </c>
      <c r="B69" s="10" t="s">
        <v>946</v>
      </c>
      <c r="C69" s="50" t="s">
        <v>901</v>
      </c>
      <c r="D69" s="13" t="s">
        <v>947</v>
      </c>
      <c r="E69" s="12" t="s">
        <v>2224</v>
      </c>
      <c r="F69" s="12" t="s">
        <v>2225</v>
      </c>
      <c r="G69" s="12" t="s">
        <v>2226</v>
      </c>
      <c r="H69" s="12" t="s">
        <v>2227</v>
      </c>
      <c r="I69" s="12" t="s">
        <v>2228</v>
      </c>
      <c r="J69" s="12" t="s">
        <v>2205</v>
      </c>
      <c r="K69" s="12" t="s">
        <v>2229</v>
      </c>
      <c r="L69" s="12" t="s">
        <v>2191</v>
      </c>
    </row>
    <row r="70" customFormat="false" ht="69.75" hidden="false" customHeight="true" outlineLevel="0" collapsed="false">
      <c r="A70" s="22" t="s">
        <v>1857</v>
      </c>
      <c r="B70" s="10" t="s">
        <v>951</v>
      </c>
      <c r="C70" s="50" t="s">
        <v>901</v>
      </c>
      <c r="D70" s="13" t="s">
        <v>952</v>
      </c>
      <c r="E70" s="12" t="s">
        <v>2230</v>
      </c>
      <c r="F70" s="12" t="s">
        <v>2171</v>
      </c>
      <c r="G70" s="12" t="s">
        <v>2172</v>
      </c>
      <c r="H70" s="12" t="s">
        <v>2231</v>
      </c>
      <c r="I70" s="12" t="s">
        <v>1971</v>
      </c>
      <c r="J70" s="12" t="s">
        <v>1942</v>
      </c>
      <c r="K70" s="12" t="s">
        <v>2232</v>
      </c>
      <c r="L70" s="12" t="s">
        <v>2233</v>
      </c>
    </row>
    <row r="71" customFormat="false" ht="82.5" hidden="false" customHeight="true" outlineLevel="0" collapsed="false">
      <c r="A71" s="22" t="s">
        <v>1857</v>
      </c>
      <c r="B71" s="10" t="s">
        <v>956</v>
      </c>
      <c r="C71" s="50" t="s">
        <v>901</v>
      </c>
      <c r="D71" s="13" t="s">
        <v>957</v>
      </c>
      <c r="E71" s="12" t="s">
        <v>2234</v>
      </c>
      <c r="F71" s="12" t="s">
        <v>2235</v>
      </c>
      <c r="G71" s="12" t="s">
        <v>2236</v>
      </c>
      <c r="H71" s="12" t="s">
        <v>2237</v>
      </c>
      <c r="I71" s="12" t="s">
        <v>2238</v>
      </c>
      <c r="J71" s="12" t="s">
        <v>2239</v>
      </c>
      <c r="K71" s="12" t="s">
        <v>2240</v>
      </c>
      <c r="L71" s="12" t="s">
        <v>2241</v>
      </c>
    </row>
    <row r="72" customFormat="false" ht="69.75" hidden="false" customHeight="true" outlineLevel="0" collapsed="false">
      <c r="A72" s="22" t="s">
        <v>1857</v>
      </c>
      <c r="B72" s="10" t="s">
        <v>961</v>
      </c>
      <c r="C72" s="51" t="s">
        <v>962</v>
      </c>
      <c r="D72" s="13" t="s">
        <v>963</v>
      </c>
      <c r="E72" s="12" t="s">
        <v>2242</v>
      </c>
      <c r="F72" s="12" t="s">
        <v>2243</v>
      </c>
      <c r="G72" s="12" t="s">
        <v>2244</v>
      </c>
      <c r="H72" s="12" t="s">
        <v>2245</v>
      </c>
      <c r="I72" s="12" t="s">
        <v>2246</v>
      </c>
      <c r="J72" s="12" t="s">
        <v>2247</v>
      </c>
      <c r="K72" s="12" t="s">
        <v>2248</v>
      </c>
      <c r="L72" s="12" t="s">
        <v>2249</v>
      </c>
    </row>
    <row r="73" customFormat="false" ht="57" hidden="false" customHeight="true" outlineLevel="0" collapsed="false">
      <c r="A73" s="22" t="s">
        <v>1857</v>
      </c>
      <c r="B73" s="10" t="s">
        <v>967</v>
      </c>
      <c r="C73" s="51" t="s">
        <v>962</v>
      </c>
      <c r="D73" s="13" t="s">
        <v>968</v>
      </c>
      <c r="E73" s="12" t="s">
        <v>2250</v>
      </c>
      <c r="F73" s="12" t="s">
        <v>2251</v>
      </c>
      <c r="G73" s="12" t="s">
        <v>2252</v>
      </c>
      <c r="H73" s="12" t="s">
        <v>2253</v>
      </c>
      <c r="I73" s="12" t="s">
        <v>2254</v>
      </c>
      <c r="J73" s="12" t="s">
        <v>2255</v>
      </c>
      <c r="K73" s="12" t="s">
        <v>2256</v>
      </c>
      <c r="L73" s="12" t="s">
        <v>2257</v>
      </c>
    </row>
    <row r="74" customFormat="false" ht="57" hidden="false" customHeight="true" outlineLevel="0" collapsed="false">
      <c r="A74" s="22" t="s">
        <v>1857</v>
      </c>
      <c r="B74" s="10" t="s">
        <v>971</v>
      </c>
      <c r="C74" s="51" t="s">
        <v>962</v>
      </c>
      <c r="D74" s="13" t="s">
        <v>972</v>
      </c>
      <c r="E74" s="12" t="s">
        <v>2258</v>
      </c>
      <c r="F74" s="12" t="s">
        <v>2259</v>
      </c>
      <c r="G74" s="12" t="s">
        <v>2260</v>
      </c>
      <c r="H74" s="12" t="s">
        <v>2261</v>
      </c>
      <c r="I74" s="12" t="s">
        <v>2262</v>
      </c>
      <c r="J74" s="12" t="s">
        <v>2263</v>
      </c>
      <c r="K74" s="12" t="s">
        <v>2264</v>
      </c>
      <c r="L74" s="12" t="s">
        <v>2265</v>
      </c>
    </row>
    <row r="75" customFormat="false" ht="69.75" hidden="false" customHeight="true" outlineLevel="0" collapsed="false">
      <c r="A75" s="22" t="s">
        <v>1857</v>
      </c>
      <c r="B75" s="10" t="s">
        <v>975</v>
      </c>
      <c r="C75" s="51" t="s">
        <v>962</v>
      </c>
      <c r="D75" s="13" t="s">
        <v>976</v>
      </c>
      <c r="E75" s="12" t="s">
        <v>2266</v>
      </c>
      <c r="F75" s="12" t="s">
        <v>2267</v>
      </c>
      <c r="G75" s="12" t="s">
        <v>2268</v>
      </c>
      <c r="H75" s="12" t="s">
        <v>2269</v>
      </c>
      <c r="I75" s="12" t="s">
        <v>2270</v>
      </c>
      <c r="J75" s="12" t="s">
        <v>2271</v>
      </c>
      <c r="K75" s="12" t="s">
        <v>2272</v>
      </c>
      <c r="L75" s="12" t="s">
        <v>2273</v>
      </c>
    </row>
    <row r="76" customFormat="false" ht="69.75" hidden="false" customHeight="true" outlineLevel="0" collapsed="false">
      <c r="A76" s="22" t="s">
        <v>1857</v>
      </c>
      <c r="B76" s="10" t="s">
        <v>980</v>
      </c>
      <c r="C76" s="51" t="s">
        <v>962</v>
      </c>
      <c r="D76" s="13" t="s">
        <v>981</v>
      </c>
      <c r="E76" s="12" t="s">
        <v>2274</v>
      </c>
      <c r="F76" s="12" t="s">
        <v>2275</v>
      </c>
      <c r="G76" s="12" t="s">
        <v>2276</v>
      </c>
      <c r="H76" s="12" t="s">
        <v>2277</v>
      </c>
      <c r="I76" s="12" t="s">
        <v>2278</v>
      </c>
      <c r="J76" s="12" t="s">
        <v>2093</v>
      </c>
      <c r="K76" s="12" t="s">
        <v>2279</v>
      </c>
      <c r="L76" s="12" t="s">
        <v>2280</v>
      </c>
    </row>
    <row r="77" customFormat="false" ht="96" hidden="false" customHeight="true" outlineLevel="0" collapsed="false">
      <c r="A77" s="22" t="s">
        <v>1857</v>
      </c>
      <c r="B77" s="10" t="s">
        <v>984</v>
      </c>
      <c r="C77" s="51" t="s">
        <v>962</v>
      </c>
      <c r="D77" s="13" t="s">
        <v>985</v>
      </c>
      <c r="E77" s="12" t="s">
        <v>2281</v>
      </c>
      <c r="F77" s="12" t="s">
        <v>2282</v>
      </c>
      <c r="G77" s="12" t="s">
        <v>2283</v>
      </c>
      <c r="H77" s="12" t="s">
        <v>2284</v>
      </c>
      <c r="I77" s="12" t="s">
        <v>2285</v>
      </c>
      <c r="J77" s="12" t="s">
        <v>2286</v>
      </c>
      <c r="K77" s="12" t="s">
        <v>2287</v>
      </c>
      <c r="L77" s="12" t="s">
        <v>2288</v>
      </c>
    </row>
    <row r="78" customFormat="false" ht="69.75" hidden="false" customHeight="true" outlineLevel="0" collapsed="false">
      <c r="A78" s="22" t="s">
        <v>1857</v>
      </c>
      <c r="B78" s="10" t="s">
        <v>989</v>
      </c>
      <c r="C78" s="51" t="s">
        <v>962</v>
      </c>
      <c r="D78" s="13" t="s">
        <v>990</v>
      </c>
      <c r="E78" s="12" t="s">
        <v>2289</v>
      </c>
      <c r="F78" s="12" t="s">
        <v>2290</v>
      </c>
      <c r="G78" s="12" t="s">
        <v>2291</v>
      </c>
      <c r="H78" s="12" t="s">
        <v>2292</v>
      </c>
      <c r="I78" s="12" t="s">
        <v>2293</v>
      </c>
      <c r="J78" s="12" t="s">
        <v>2294</v>
      </c>
      <c r="K78" s="12" t="s">
        <v>2256</v>
      </c>
      <c r="L78" s="12" t="s">
        <v>2295</v>
      </c>
    </row>
    <row r="79" customFormat="false" ht="69.75" hidden="false" customHeight="true" outlineLevel="0" collapsed="false">
      <c r="A79" s="22" t="s">
        <v>1857</v>
      </c>
      <c r="B79" s="10" t="s">
        <v>994</v>
      </c>
      <c r="C79" s="51" t="s">
        <v>962</v>
      </c>
      <c r="D79" s="13" t="s">
        <v>995</v>
      </c>
      <c r="E79" s="12" t="s">
        <v>2296</v>
      </c>
      <c r="F79" s="12" t="s">
        <v>2297</v>
      </c>
      <c r="G79" s="12" t="s">
        <v>2298</v>
      </c>
      <c r="H79" s="12" t="s">
        <v>2299</v>
      </c>
      <c r="I79" s="12" t="s">
        <v>2300</v>
      </c>
      <c r="J79" s="12" t="s">
        <v>2301</v>
      </c>
      <c r="K79" s="12" t="s">
        <v>2256</v>
      </c>
      <c r="L79" s="12" t="s">
        <v>2302</v>
      </c>
    </row>
    <row r="80" customFormat="false" ht="108.75" hidden="false" customHeight="true" outlineLevel="0" collapsed="false">
      <c r="A80" s="22" t="s">
        <v>1857</v>
      </c>
      <c r="B80" s="10" t="s">
        <v>998</v>
      </c>
      <c r="C80" s="51" t="s">
        <v>962</v>
      </c>
      <c r="D80" s="13" t="s">
        <v>999</v>
      </c>
      <c r="E80" s="12" t="s">
        <v>2303</v>
      </c>
      <c r="F80" s="12" t="s">
        <v>2304</v>
      </c>
      <c r="G80" s="12" t="s">
        <v>2305</v>
      </c>
      <c r="H80" s="12" t="s">
        <v>2306</v>
      </c>
      <c r="I80" s="12" t="s">
        <v>2307</v>
      </c>
      <c r="J80" s="12" t="s">
        <v>2308</v>
      </c>
      <c r="K80" s="12" t="s">
        <v>2309</v>
      </c>
      <c r="L80" s="12" t="s">
        <v>2310</v>
      </c>
    </row>
    <row r="81" customFormat="false" ht="82.5" hidden="false" customHeight="true" outlineLevel="0" collapsed="false">
      <c r="A81" s="22" t="s">
        <v>1857</v>
      </c>
      <c r="B81" s="10" t="s">
        <v>1003</v>
      </c>
      <c r="C81" s="51" t="s">
        <v>962</v>
      </c>
      <c r="D81" s="13" t="s">
        <v>1004</v>
      </c>
      <c r="E81" s="12" t="s">
        <v>2311</v>
      </c>
      <c r="F81" s="12" t="s">
        <v>2312</v>
      </c>
      <c r="G81" s="12" t="s">
        <v>2313</v>
      </c>
      <c r="H81" s="12" t="s">
        <v>2314</v>
      </c>
      <c r="I81" s="12" t="s">
        <v>2315</v>
      </c>
      <c r="J81" s="12" t="s">
        <v>2316</v>
      </c>
      <c r="K81" s="12" t="s">
        <v>2317</v>
      </c>
      <c r="L81" s="12" t="s">
        <v>2318</v>
      </c>
    </row>
    <row r="82" customFormat="false" ht="96" hidden="false" customHeight="true" outlineLevel="0" collapsed="false">
      <c r="A82" s="22" t="s">
        <v>1857</v>
      </c>
      <c r="B82" s="10" t="s">
        <v>1008</v>
      </c>
      <c r="C82" s="51" t="s">
        <v>962</v>
      </c>
      <c r="D82" s="13" t="s">
        <v>1009</v>
      </c>
      <c r="E82" s="12" t="s">
        <v>2319</v>
      </c>
      <c r="F82" s="12" t="s">
        <v>2320</v>
      </c>
      <c r="G82" s="12" t="s">
        <v>2321</v>
      </c>
      <c r="H82" s="12" t="s">
        <v>2322</v>
      </c>
      <c r="I82" s="12" t="s">
        <v>2174</v>
      </c>
      <c r="J82" s="12" t="s">
        <v>1942</v>
      </c>
      <c r="K82" s="12" t="s">
        <v>2323</v>
      </c>
      <c r="L82" s="12" t="s">
        <v>2324</v>
      </c>
    </row>
    <row r="83" customFormat="false" ht="57" hidden="false" customHeight="true" outlineLevel="0" collapsed="false">
      <c r="A83" s="22" t="s">
        <v>1857</v>
      </c>
      <c r="B83" s="10" t="s">
        <v>1012</v>
      </c>
      <c r="C83" s="51" t="s">
        <v>962</v>
      </c>
      <c r="D83" s="13" t="s">
        <v>1013</v>
      </c>
      <c r="E83" s="12" t="s">
        <v>2325</v>
      </c>
      <c r="F83" s="12" t="s">
        <v>2326</v>
      </c>
      <c r="G83" s="12" t="s">
        <v>2327</v>
      </c>
      <c r="H83" s="12" t="s">
        <v>2328</v>
      </c>
      <c r="I83" s="12" t="s">
        <v>2329</v>
      </c>
      <c r="J83" s="12" t="s">
        <v>2330</v>
      </c>
      <c r="K83" s="12" t="s">
        <v>2331</v>
      </c>
      <c r="L83" s="12" t="s">
        <v>2332</v>
      </c>
    </row>
    <row r="84" customFormat="false" ht="69.75" hidden="false" customHeight="true" outlineLevel="0" collapsed="false">
      <c r="A84" s="22" t="s">
        <v>1857</v>
      </c>
      <c r="B84" s="10" t="s">
        <v>1017</v>
      </c>
      <c r="C84" s="51" t="s">
        <v>962</v>
      </c>
      <c r="D84" s="13" t="s">
        <v>1018</v>
      </c>
      <c r="E84" s="12" t="s">
        <v>2333</v>
      </c>
      <c r="F84" s="12" t="s">
        <v>2334</v>
      </c>
      <c r="G84" s="12" t="s">
        <v>2335</v>
      </c>
      <c r="H84" s="12" t="s">
        <v>2336</v>
      </c>
      <c r="I84" s="12" t="s">
        <v>2337</v>
      </c>
      <c r="J84" s="12" t="s">
        <v>2338</v>
      </c>
      <c r="K84" s="12" t="s">
        <v>2339</v>
      </c>
      <c r="L84" s="12" t="s">
        <v>2340</v>
      </c>
    </row>
    <row r="85" customFormat="false" ht="18" hidden="false" customHeight="true" outlineLevel="0" collapsed="false"/>
    <row r="86" customFormat="false" ht="21.75" hidden="false" customHeight="true" outlineLevel="0" collapsed="false">
      <c r="A86" s="8" t="s">
        <v>2341</v>
      </c>
      <c r="B86" s="8"/>
      <c r="C86" s="8"/>
      <c r="D86" s="8"/>
      <c r="E86" s="8"/>
      <c r="F86" s="8"/>
      <c r="G86" s="8"/>
      <c r="H86" s="8"/>
      <c r="I86" s="8"/>
      <c r="J86" s="8"/>
      <c r="K86" s="8"/>
      <c r="L86" s="8"/>
    </row>
    <row r="87" customFormat="false" ht="18" hidden="false" customHeight="true" outlineLevel="0" collapsed="false">
      <c r="A87" s="2" t="s">
        <v>2342</v>
      </c>
      <c r="B87" s="2"/>
      <c r="C87" s="2"/>
      <c r="D87" s="2"/>
      <c r="E87" s="2"/>
      <c r="F87" s="2"/>
      <c r="G87" s="2"/>
      <c r="H87" s="2"/>
      <c r="I87" s="2"/>
      <c r="J87" s="2"/>
      <c r="K87" s="2"/>
      <c r="L87" s="2"/>
    </row>
    <row r="88" customFormat="false" ht="18" hidden="false" customHeight="true" outlineLevel="0" collapsed="false">
      <c r="A88" s="9" t="s">
        <v>696</v>
      </c>
      <c r="B88" s="9" t="s">
        <v>400</v>
      </c>
      <c r="C88" s="9"/>
      <c r="D88" s="9"/>
      <c r="E88" s="9" t="s">
        <v>2343</v>
      </c>
      <c r="F88" s="9"/>
      <c r="G88" s="9"/>
      <c r="H88" s="9" t="s">
        <v>2344</v>
      </c>
      <c r="I88" s="9"/>
      <c r="J88" s="9"/>
      <c r="K88" s="9"/>
      <c r="L88" s="9"/>
    </row>
    <row r="89" customFormat="false" ht="18" hidden="false" customHeight="true" outlineLevel="0" collapsed="false">
      <c r="A89" s="13" t="s">
        <v>2345</v>
      </c>
      <c r="B89" s="12" t="s">
        <v>2346</v>
      </c>
      <c r="C89" s="12"/>
      <c r="D89" s="12"/>
      <c r="E89" s="12" t="s">
        <v>2347</v>
      </c>
      <c r="F89" s="12"/>
      <c r="G89" s="12"/>
      <c r="H89" s="12" t="s">
        <v>2348</v>
      </c>
      <c r="I89" s="12"/>
      <c r="J89" s="12"/>
      <c r="K89" s="12"/>
      <c r="L89" s="12"/>
    </row>
    <row r="90" customFormat="false" ht="18" hidden="false" customHeight="true" outlineLevel="0" collapsed="false">
      <c r="A90" s="13" t="s">
        <v>2349</v>
      </c>
      <c r="B90" s="12" t="s">
        <v>2350</v>
      </c>
      <c r="C90" s="12"/>
      <c r="D90" s="12"/>
      <c r="E90" s="12" t="s">
        <v>2351</v>
      </c>
      <c r="F90" s="12"/>
      <c r="G90" s="12"/>
      <c r="H90" s="12" t="s">
        <v>2352</v>
      </c>
      <c r="I90" s="12"/>
      <c r="J90" s="12"/>
      <c r="K90" s="12"/>
      <c r="L90" s="12"/>
    </row>
    <row r="91" customFormat="false" ht="18" hidden="false" customHeight="true" outlineLevel="0" collapsed="false">
      <c r="A91" s="13" t="s">
        <v>2353</v>
      </c>
      <c r="B91" s="12" t="s">
        <v>2354</v>
      </c>
      <c r="C91" s="12"/>
      <c r="D91" s="12"/>
      <c r="E91" s="12" t="s">
        <v>2355</v>
      </c>
      <c r="F91" s="12"/>
      <c r="G91" s="12"/>
      <c r="H91" s="12" t="s">
        <v>2356</v>
      </c>
      <c r="I91" s="12"/>
      <c r="J91" s="12"/>
      <c r="K91" s="12"/>
      <c r="L91" s="12"/>
    </row>
    <row r="92" customFormat="false" ht="18" hidden="false" customHeight="true" outlineLevel="0" collapsed="false">
      <c r="A92" s="13" t="s">
        <v>2357</v>
      </c>
      <c r="B92" s="12" t="s">
        <v>2358</v>
      </c>
      <c r="C92" s="12"/>
      <c r="D92" s="12"/>
      <c r="E92" s="12" t="s">
        <v>2359</v>
      </c>
      <c r="F92" s="12"/>
      <c r="G92" s="12"/>
      <c r="H92" s="12" t="s">
        <v>2360</v>
      </c>
      <c r="I92" s="12"/>
      <c r="J92" s="12"/>
      <c r="K92" s="12"/>
      <c r="L92" s="12"/>
    </row>
    <row r="93" customFormat="false" ht="18" hidden="false" customHeight="true" outlineLevel="0" collapsed="false">
      <c r="A93" s="13" t="s">
        <v>2361</v>
      </c>
      <c r="B93" s="12" t="s">
        <v>2362</v>
      </c>
      <c r="C93" s="12"/>
      <c r="D93" s="12"/>
      <c r="E93" s="12" t="s">
        <v>2363</v>
      </c>
      <c r="F93" s="12"/>
      <c r="G93" s="12"/>
      <c r="H93" s="12" t="s">
        <v>2364</v>
      </c>
      <c r="I93" s="12"/>
      <c r="J93" s="12"/>
      <c r="K93" s="12"/>
      <c r="L93" s="12"/>
    </row>
    <row r="94" customFormat="false" ht="18" hidden="false" customHeight="true" outlineLevel="0" collapsed="false">
      <c r="A94" s="13" t="s">
        <v>2365</v>
      </c>
      <c r="B94" s="12" t="s">
        <v>2366</v>
      </c>
      <c r="C94" s="12"/>
      <c r="D94" s="12"/>
      <c r="E94" s="12" t="s">
        <v>2367</v>
      </c>
      <c r="F94" s="12"/>
      <c r="G94" s="12"/>
      <c r="H94" s="12" t="s">
        <v>2368</v>
      </c>
      <c r="I94" s="12"/>
      <c r="J94" s="12"/>
      <c r="K94" s="12"/>
      <c r="L94" s="12"/>
    </row>
    <row r="95" customFormat="false" ht="18" hidden="false" customHeight="true" outlineLevel="0" collapsed="false">
      <c r="A95" s="13" t="s">
        <v>2369</v>
      </c>
      <c r="B95" s="12" t="s">
        <v>2370</v>
      </c>
      <c r="C95" s="12"/>
      <c r="D95" s="12"/>
      <c r="E95" s="12" t="s">
        <v>2371</v>
      </c>
      <c r="F95" s="12"/>
      <c r="G95" s="12"/>
      <c r="H95" s="12" t="s">
        <v>2372</v>
      </c>
      <c r="I95" s="12"/>
      <c r="J95" s="12"/>
      <c r="K95" s="12"/>
      <c r="L95" s="12"/>
    </row>
    <row r="96" customFormat="false" ht="18" hidden="false" customHeight="true" outlineLevel="0" collapsed="false">
      <c r="A96" s="13" t="s">
        <v>2373</v>
      </c>
      <c r="B96" s="12" t="s">
        <v>2374</v>
      </c>
      <c r="C96" s="12"/>
      <c r="D96" s="12"/>
      <c r="E96" s="12" t="s">
        <v>2375</v>
      </c>
      <c r="F96" s="12"/>
      <c r="G96" s="12"/>
      <c r="H96" s="12" t="s">
        <v>2376</v>
      </c>
      <c r="I96" s="12"/>
      <c r="J96" s="12"/>
      <c r="K96" s="12"/>
      <c r="L96" s="12"/>
    </row>
    <row r="97" customFormat="false" ht="18" hidden="false" customHeight="true" outlineLevel="0" collapsed="false">
      <c r="A97" s="13" t="s">
        <v>2377</v>
      </c>
      <c r="B97" s="12" t="s">
        <v>2378</v>
      </c>
      <c r="C97" s="12"/>
      <c r="D97" s="12"/>
      <c r="E97" s="12" t="s">
        <v>2379</v>
      </c>
      <c r="F97" s="12"/>
      <c r="G97" s="12"/>
      <c r="H97" s="12" t="s">
        <v>2380</v>
      </c>
      <c r="I97" s="12"/>
      <c r="J97" s="12"/>
      <c r="K97" s="12"/>
      <c r="L97" s="12"/>
    </row>
    <row r="98" customFormat="false" ht="18" hidden="false" customHeight="true" outlineLevel="0" collapsed="false">
      <c r="A98" s="13" t="s">
        <v>2381</v>
      </c>
      <c r="B98" s="12" t="s">
        <v>2382</v>
      </c>
      <c r="C98" s="12"/>
      <c r="D98" s="12"/>
      <c r="E98" s="12" t="s">
        <v>2383</v>
      </c>
      <c r="F98" s="12"/>
      <c r="G98" s="12"/>
      <c r="H98" s="12" t="s">
        <v>2384</v>
      </c>
      <c r="I98" s="12"/>
      <c r="J98" s="12"/>
      <c r="K98" s="12"/>
      <c r="L98" s="12"/>
    </row>
    <row r="99" customFormat="false" ht="18" hidden="false" customHeight="true" outlineLevel="0" collapsed="false">
      <c r="A99" s="55" t="s">
        <v>2385</v>
      </c>
      <c r="B99" s="12" t="s">
        <v>2386</v>
      </c>
      <c r="C99" s="12"/>
      <c r="D99" s="12"/>
      <c r="E99" s="12" t="s">
        <v>2387</v>
      </c>
      <c r="F99" s="12"/>
      <c r="G99" s="12"/>
      <c r="H99" s="12" t="s">
        <v>2388</v>
      </c>
      <c r="I99" s="12"/>
      <c r="J99" s="12"/>
      <c r="K99" s="12"/>
      <c r="L99" s="12"/>
    </row>
    <row r="100" customFormat="false" ht="18" hidden="false" customHeight="true" outlineLevel="0" collapsed="false">
      <c r="A100" s="55" t="s">
        <v>2389</v>
      </c>
      <c r="B100" s="12" t="s">
        <v>2390</v>
      </c>
      <c r="C100" s="12"/>
      <c r="D100" s="12"/>
      <c r="E100" s="12" t="s">
        <v>2391</v>
      </c>
      <c r="F100" s="12"/>
      <c r="G100" s="12"/>
      <c r="H100" s="12" t="s">
        <v>2392</v>
      </c>
      <c r="I100" s="12"/>
      <c r="J100" s="12"/>
      <c r="K100" s="12"/>
      <c r="L100" s="12"/>
    </row>
    <row r="101" customFormat="false" ht="18" hidden="false" customHeight="true" outlineLevel="0" collapsed="false">
      <c r="A101" s="55" t="s">
        <v>2393</v>
      </c>
      <c r="B101" s="12" t="s">
        <v>2394</v>
      </c>
      <c r="C101" s="12"/>
      <c r="D101" s="12"/>
      <c r="E101" s="12" t="s">
        <v>2395</v>
      </c>
      <c r="F101" s="12"/>
      <c r="G101" s="12"/>
      <c r="H101" s="12" t="s">
        <v>2396</v>
      </c>
      <c r="I101" s="12"/>
      <c r="J101" s="12"/>
      <c r="K101" s="12"/>
      <c r="L101" s="12"/>
    </row>
    <row r="102" customFormat="false" ht="18" hidden="false" customHeight="true" outlineLevel="0" collapsed="false">
      <c r="A102" s="55" t="s">
        <v>2397</v>
      </c>
      <c r="B102" s="12" t="s">
        <v>2398</v>
      </c>
      <c r="C102" s="12"/>
      <c r="D102" s="12"/>
      <c r="E102" s="12" t="s">
        <v>2399</v>
      </c>
      <c r="F102" s="12"/>
      <c r="G102" s="12"/>
      <c r="H102" s="12" t="s">
        <v>2400</v>
      </c>
      <c r="I102" s="12"/>
      <c r="J102" s="12"/>
      <c r="K102" s="12"/>
      <c r="L102" s="12"/>
    </row>
    <row r="103" customFormat="false" ht="18" hidden="false" customHeight="true" outlineLevel="0" collapsed="false">
      <c r="A103" s="55" t="s">
        <v>2401</v>
      </c>
      <c r="B103" s="12" t="s">
        <v>2402</v>
      </c>
      <c r="C103" s="12"/>
      <c r="D103" s="12"/>
      <c r="E103" s="12" t="s">
        <v>2403</v>
      </c>
      <c r="F103" s="12"/>
      <c r="G103" s="12"/>
      <c r="H103" s="12" t="s">
        <v>2404</v>
      </c>
      <c r="I103" s="12"/>
      <c r="J103" s="12"/>
      <c r="K103" s="12"/>
      <c r="L103" s="12"/>
    </row>
    <row r="104" customFormat="false" ht="18" hidden="false" customHeight="true" outlineLevel="0" collapsed="false">
      <c r="A104" s="55" t="s">
        <v>2405</v>
      </c>
      <c r="B104" s="12" t="s">
        <v>2406</v>
      </c>
      <c r="C104" s="12"/>
      <c r="D104" s="12"/>
      <c r="E104" s="12" t="s">
        <v>2407</v>
      </c>
      <c r="F104" s="12"/>
      <c r="G104" s="12"/>
      <c r="H104" s="12" t="s">
        <v>2408</v>
      </c>
      <c r="I104" s="12"/>
      <c r="J104" s="12"/>
      <c r="K104" s="12"/>
      <c r="L104" s="12"/>
    </row>
    <row r="105" customFormat="false" ht="18" hidden="false" customHeight="true" outlineLevel="0" collapsed="false">
      <c r="A105" s="55" t="s">
        <v>2409</v>
      </c>
      <c r="B105" s="12" t="s">
        <v>2410</v>
      </c>
      <c r="C105" s="12"/>
      <c r="D105" s="12"/>
      <c r="E105" s="12" t="s">
        <v>2411</v>
      </c>
      <c r="F105" s="12"/>
      <c r="G105" s="12"/>
      <c r="H105" s="12" t="s">
        <v>2412</v>
      </c>
      <c r="I105" s="12"/>
      <c r="J105" s="12"/>
      <c r="K105" s="12"/>
      <c r="L105" s="12"/>
    </row>
    <row r="106" customFormat="false" ht="18" hidden="false" customHeight="true" outlineLevel="0" collapsed="false">
      <c r="A106" s="55" t="s">
        <v>2413</v>
      </c>
      <c r="B106" s="12" t="s">
        <v>2414</v>
      </c>
      <c r="C106" s="12"/>
      <c r="D106" s="12"/>
      <c r="E106" s="12" t="s">
        <v>2415</v>
      </c>
      <c r="F106" s="12"/>
      <c r="G106" s="12"/>
      <c r="H106" s="12" t="s">
        <v>2416</v>
      </c>
      <c r="I106" s="12"/>
      <c r="J106" s="12"/>
      <c r="K106" s="12"/>
      <c r="L106" s="12"/>
    </row>
    <row r="107" customFormat="false" ht="18" hidden="false" customHeight="true" outlineLevel="0" collapsed="false">
      <c r="A107" s="55" t="s">
        <v>2417</v>
      </c>
      <c r="B107" s="12" t="s">
        <v>2418</v>
      </c>
      <c r="C107" s="12"/>
      <c r="D107" s="12"/>
      <c r="E107" s="12" t="s">
        <v>2419</v>
      </c>
      <c r="F107" s="12"/>
      <c r="G107" s="12"/>
      <c r="H107" s="12" t="s">
        <v>2420</v>
      </c>
      <c r="I107" s="12"/>
      <c r="J107" s="12"/>
      <c r="K107" s="12"/>
      <c r="L107" s="12"/>
    </row>
    <row r="108" customFormat="false" ht="18" hidden="false" customHeight="true" outlineLevel="0" collapsed="false">
      <c r="A108" s="55" t="s">
        <v>2421</v>
      </c>
      <c r="B108" s="12" t="s">
        <v>2422</v>
      </c>
      <c r="C108" s="12"/>
      <c r="D108" s="12"/>
      <c r="E108" s="12" t="s">
        <v>2423</v>
      </c>
      <c r="F108" s="12"/>
      <c r="G108" s="12"/>
      <c r="H108" s="12" t="s">
        <v>2424</v>
      </c>
      <c r="I108" s="12"/>
      <c r="J108" s="12"/>
      <c r="K108" s="12"/>
      <c r="L108" s="12"/>
    </row>
    <row r="109" customFormat="false" ht="18" hidden="false" customHeight="true" outlineLevel="0" collapsed="false"/>
    <row r="110" customFormat="false" ht="21.75" hidden="false" customHeight="true" outlineLevel="0" collapsed="false">
      <c r="A110" s="8" t="s">
        <v>2425</v>
      </c>
      <c r="B110" s="8"/>
      <c r="C110" s="8"/>
      <c r="D110" s="8"/>
      <c r="E110" s="8"/>
      <c r="F110" s="8"/>
      <c r="G110" s="8"/>
      <c r="H110" s="8"/>
      <c r="I110" s="8"/>
      <c r="J110" s="8"/>
      <c r="K110" s="8"/>
      <c r="L110" s="8"/>
    </row>
    <row r="111" customFormat="false" ht="18" hidden="false" customHeight="true" outlineLevel="0" collapsed="false">
      <c r="A111" s="2" t="s">
        <v>2426</v>
      </c>
      <c r="B111" s="2"/>
      <c r="C111" s="2"/>
      <c r="D111" s="2"/>
      <c r="E111" s="2"/>
      <c r="F111" s="2"/>
      <c r="G111" s="2"/>
      <c r="H111" s="2"/>
      <c r="I111" s="2"/>
      <c r="J111" s="2"/>
      <c r="K111" s="2"/>
      <c r="L111" s="2"/>
    </row>
    <row r="112" customFormat="false" ht="18" hidden="false" customHeight="true" outlineLevel="0" collapsed="false">
      <c r="A112" s="9" t="s">
        <v>60</v>
      </c>
      <c r="B112" s="9"/>
      <c r="C112" s="9" t="s">
        <v>2427</v>
      </c>
      <c r="D112" s="9"/>
      <c r="E112" s="9"/>
      <c r="F112" s="9"/>
      <c r="G112" s="9"/>
      <c r="H112" s="9"/>
      <c r="I112" s="9"/>
      <c r="J112" s="9"/>
      <c r="K112" s="9"/>
      <c r="L112" s="9"/>
    </row>
    <row r="113" customFormat="false" ht="18" hidden="false" customHeight="true" outlineLevel="0" collapsed="false">
      <c r="A113" s="13" t="s">
        <v>2428</v>
      </c>
      <c r="B113" s="13"/>
      <c r="C113" s="12" t="s">
        <v>2429</v>
      </c>
      <c r="D113" s="12"/>
      <c r="E113" s="12"/>
      <c r="F113" s="12"/>
      <c r="G113" s="12"/>
      <c r="H113" s="12"/>
      <c r="I113" s="12"/>
      <c r="J113" s="12"/>
      <c r="K113" s="12"/>
      <c r="L113" s="12"/>
    </row>
    <row r="114" customFormat="false" ht="18" hidden="false" customHeight="true" outlineLevel="0" collapsed="false">
      <c r="A114" s="13" t="s">
        <v>2430</v>
      </c>
      <c r="B114" s="13"/>
      <c r="C114" s="12" t="s">
        <v>2431</v>
      </c>
      <c r="D114" s="12"/>
      <c r="E114" s="12"/>
      <c r="F114" s="12"/>
      <c r="G114" s="12"/>
      <c r="H114" s="12"/>
      <c r="I114" s="12"/>
      <c r="J114" s="12"/>
      <c r="K114" s="12"/>
      <c r="L114" s="12"/>
    </row>
    <row r="115" customFormat="false" ht="18" hidden="false" customHeight="true" outlineLevel="0" collapsed="false">
      <c r="A115" s="13" t="s">
        <v>2432</v>
      </c>
      <c r="B115" s="13"/>
      <c r="C115" s="12" t="s">
        <v>2433</v>
      </c>
      <c r="D115" s="12"/>
      <c r="E115" s="12"/>
      <c r="F115" s="12"/>
      <c r="G115" s="12"/>
      <c r="H115" s="12"/>
      <c r="I115" s="12"/>
      <c r="J115" s="12"/>
      <c r="K115" s="12"/>
      <c r="L115" s="12"/>
    </row>
    <row r="116" customFormat="false" ht="18" hidden="false" customHeight="true" outlineLevel="0" collapsed="false">
      <c r="A116" s="13" t="s">
        <v>2434</v>
      </c>
      <c r="B116" s="13"/>
      <c r="C116" s="12" t="s">
        <v>2435</v>
      </c>
      <c r="D116" s="12"/>
      <c r="E116" s="12"/>
      <c r="F116" s="12"/>
      <c r="G116" s="12"/>
      <c r="H116" s="12"/>
      <c r="I116" s="12"/>
      <c r="J116" s="12"/>
      <c r="K116" s="12"/>
      <c r="L116" s="12"/>
    </row>
    <row r="117" customFormat="false" ht="18" hidden="false" customHeight="true" outlineLevel="0" collapsed="false">
      <c r="A117" s="13" t="s">
        <v>2436</v>
      </c>
      <c r="B117" s="13"/>
      <c r="C117" s="12" t="s">
        <v>2437</v>
      </c>
      <c r="D117" s="12"/>
      <c r="E117" s="12"/>
      <c r="F117" s="12"/>
      <c r="G117" s="12"/>
      <c r="H117" s="12"/>
      <c r="I117" s="12"/>
      <c r="J117" s="12"/>
      <c r="K117" s="12"/>
      <c r="L117" s="12"/>
    </row>
    <row r="118" customFormat="false" ht="18" hidden="false" customHeight="true" outlineLevel="0" collapsed="false">
      <c r="A118" s="13" t="s">
        <v>2438</v>
      </c>
      <c r="B118" s="13"/>
      <c r="C118" s="12" t="s">
        <v>2439</v>
      </c>
      <c r="D118" s="12"/>
      <c r="E118" s="12"/>
      <c r="F118" s="12"/>
      <c r="G118" s="12"/>
      <c r="H118" s="12"/>
      <c r="I118" s="12"/>
      <c r="J118" s="12"/>
      <c r="K118" s="12"/>
      <c r="L118" s="12"/>
    </row>
  </sheetData>
  <autoFilter ref="A19:L84"/>
  <mergeCells count="113">
    <mergeCell ref="A1:L1"/>
    <mergeCell ref="A3:L3"/>
    <mergeCell ref="A6:L6"/>
    <mergeCell ref="A7:B7"/>
    <mergeCell ref="C7:G7"/>
    <mergeCell ref="H7:L7"/>
    <mergeCell ref="A8:B8"/>
    <mergeCell ref="C8:G8"/>
    <mergeCell ref="H8:L8"/>
    <mergeCell ref="A9:B9"/>
    <mergeCell ref="C9:G9"/>
    <mergeCell ref="H9:L9"/>
    <mergeCell ref="A10:B10"/>
    <mergeCell ref="C10:G10"/>
    <mergeCell ref="H10:L10"/>
    <mergeCell ref="A11:B11"/>
    <mergeCell ref="C11:G11"/>
    <mergeCell ref="H11:L11"/>
    <mergeCell ref="A12:B12"/>
    <mergeCell ref="C12:G12"/>
    <mergeCell ref="H12:L12"/>
    <mergeCell ref="A13:B13"/>
    <mergeCell ref="C13:G13"/>
    <mergeCell ref="H13:L13"/>
    <mergeCell ref="A14:B14"/>
    <mergeCell ref="C14:G14"/>
    <mergeCell ref="H14:L14"/>
    <mergeCell ref="A15:B15"/>
    <mergeCell ref="C15:G15"/>
    <mergeCell ref="H15:L15"/>
    <mergeCell ref="A17:L17"/>
    <mergeCell ref="A18:L18"/>
    <mergeCell ref="A86:L86"/>
    <mergeCell ref="A87:L87"/>
    <mergeCell ref="B88:D88"/>
    <mergeCell ref="E88:G88"/>
    <mergeCell ref="H88:L88"/>
    <mergeCell ref="B89:D89"/>
    <mergeCell ref="E89:G89"/>
    <mergeCell ref="H89:L89"/>
    <mergeCell ref="B90:D90"/>
    <mergeCell ref="E90:G90"/>
    <mergeCell ref="H90:L90"/>
    <mergeCell ref="B91:D91"/>
    <mergeCell ref="E91:G91"/>
    <mergeCell ref="H91:L91"/>
    <mergeCell ref="B92:D92"/>
    <mergeCell ref="E92:G92"/>
    <mergeCell ref="H92:L92"/>
    <mergeCell ref="B93:D93"/>
    <mergeCell ref="E93:G93"/>
    <mergeCell ref="H93:L93"/>
    <mergeCell ref="B94:D94"/>
    <mergeCell ref="E94:G94"/>
    <mergeCell ref="H94:L94"/>
    <mergeCell ref="B95:D95"/>
    <mergeCell ref="E95:G95"/>
    <mergeCell ref="H95:L95"/>
    <mergeCell ref="B96:D96"/>
    <mergeCell ref="E96:G96"/>
    <mergeCell ref="H96:L96"/>
    <mergeCell ref="B97:D97"/>
    <mergeCell ref="E97:G97"/>
    <mergeCell ref="H97:L97"/>
    <mergeCell ref="B98:D98"/>
    <mergeCell ref="E98:G98"/>
    <mergeCell ref="H98:L98"/>
    <mergeCell ref="B99:D99"/>
    <mergeCell ref="E99:G99"/>
    <mergeCell ref="H99:L99"/>
    <mergeCell ref="B100:D100"/>
    <mergeCell ref="E100:G100"/>
    <mergeCell ref="H100:L100"/>
    <mergeCell ref="B101:D101"/>
    <mergeCell ref="E101:G101"/>
    <mergeCell ref="H101:L101"/>
    <mergeCell ref="B102:D102"/>
    <mergeCell ref="E102:G102"/>
    <mergeCell ref="H102:L102"/>
    <mergeCell ref="B103:D103"/>
    <mergeCell ref="E103:G103"/>
    <mergeCell ref="H103:L103"/>
    <mergeCell ref="B104:D104"/>
    <mergeCell ref="E104:G104"/>
    <mergeCell ref="H104:L104"/>
    <mergeCell ref="B105:D105"/>
    <mergeCell ref="E105:G105"/>
    <mergeCell ref="H105:L105"/>
    <mergeCell ref="B106:D106"/>
    <mergeCell ref="E106:G106"/>
    <mergeCell ref="H106:L106"/>
    <mergeCell ref="B107:D107"/>
    <mergeCell ref="E107:G107"/>
    <mergeCell ref="H107:L107"/>
    <mergeCell ref="B108:D108"/>
    <mergeCell ref="E108:G108"/>
    <mergeCell ref="H108:L108"/>
    <mergeCell ref="A110:L110"/>
    <mergeCell ref="A111:L111"/>
    <mergeCell ref="A112:B112"/>
    <mergeCell ref="C112:L112"/>
    <mergeCell ref="A113:B113"/>
    <mergeCell ref="C113:L113"/>
    <mergeCell ref="A114:B114"/>
    <mergeCell ref="C114:L114"/>
    <mergeCell ref="A115:B115"/>
    <mergeCell ref="C115:L115"/>
    <mergeCell ref="A116:B116"/>
    <mergeCell ref="C116:L116"/>
    <mergeCell ref="A117:B117"/>
    <mergeCell ref="C117:L117"/>
    <mergeCell ref="A118:B118"/>
    <mergeCell ref="C118:L11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2" style="0" width="48"/>
  </cols>
  <sheetData>
    <row r="1" customFormat="false" ht="15" hidden="false" customHeight="false" outlineLevel="0" collapsed="false">
      <c r="A1" s="56" t="s">
        <v>2440</v>
      </c>
    </row>
    <row r="2" customFormat="false" ht="15" hidden="false" customHeight="false" outlineLevel="0" collapsed="false">
      <c r="B2" s="0" t="s">
        <v>109</v>
      </c>
      <c r="C2" s="0" t="s">
        <v>2441</v>
      </c>
      <c r="D2" s="0" t="s">
        <v>2442</v>
      </c>
      <c r="E2" s="0" t="s">
        <v>2443</v>
      </c>
      <c r="F2" s="0" t="s">
        <v>2444</v>
      </c>
      <c r="G2" s="0" t="s">
        <v>409</v>
      </c>
      <c r="H2" s="0" t="s">
        <v>2445</v>
      </c>
      <c r="I2" s="0" t="s">
        <v>2446</v>
      </c>
      <c r="J2" s="0" t="s">
        <v>2447</v>
      </c>
    </row>
    <row r="3" customFormat="false" ht="15" hidden="false" customHeight="false" outlineLevel="0" collapsed="false">
      <c r="B3" s="0" t="s">
        <v>2448</v>
      </c>
      <c r="C3" s="0" t="s">
        <v>2449</v>
      </c>
      <c r="D3" s="0" t="s">
        <v>2450</v>
      </c>
      <c r="E3" s="0" t="s">
        <v>2451</v>
      </c>
      <c r="F3" s="0" t="s">
        <v>2452</v>
      </c>
      <c r="G3" s="0" t="s">
        <v>2453</v>
      </c>
      <c r="H3" s="0" t="s">
        <v>2454</v>
      </c>
      <c r="I3" s="0" t="s">
        <v>2455</v>
      </c>
      <c r="J3" s="0" t="s">
        <v>2456</v>
      </c>
    </row>
    <row r="4" customFormat="false" ht="15" hidden="false" customHeight="false" outlineLevel="0" collapsed="false">
      <c r="B4" s="0" t="s">
        <v>2457</v>
      </c>
      <c r="C4" s="0" t="s">
        <v>2458</v>
      </c>
      <c r="D4" s="0" t="s">
        <v>2459</v>
      </c>
      <c r="E4" s="0" t="s">
        <v>2460</v>
      </c>
      <c r="F4" s="0" t="s">
        <v>135</v>
      </c>
      <c r="G4" s="0" t="s">
        <v>2461</v>
      </c>
      <c r="H4" s="0" t="s">
        <v>2462</v>
      </c>
      <c r="I4" s="0" t="s">
        <v>2463</v>
      </c>
      <c r="J4" s="0" t="s">
        <v>2464</v>
      </c>
    </row>
    <row r="5" customFormat="false" ht="15" hidden="false" customHeight="false" outlineLevel="0" collapsed="false">
      <c r="B5" s="0" t="s">
        <v>2465</v>
      </c>
      <c r="D5" s="0" t="s">
        <v>2466</v>
      </c>
      <c r="E5" s="0" t="s">
        <v>2467</v>
      </c>
      <c r="F5" s="0" t="s">
        <v>2468</v>
      </c>
      <c r="G5" s="0" t="s">
        <v>2469</v>
      </c>
      <c r="H5" s="0" t="s">
        <v>2458</v>
      </c>
      <c r="I5" s="0" t="s">
        <v>2458</v>
      </c>
      <c r="J5" s="0" t="s">
        <v>2458</v>
      </c>
    </row>
    <row r="6" customFormat="false" ht="15" hidden="false" customHeight="false" outlineLevel="0" collapsed="false">
      <c r="D6" s="0" t="s">
        <v>2470</v>
      </c>
      <c r="E6" s="0" t="s">
        <v>2458</v>
      </c>
      <c r="F6" s="0" t="s">
        <v>1285</v>
      </c>
      <c r="G6" s="0" t="s">
        <v>2458</v>
      </c>
      <c r="H6" s="0" t="s">
        <v>1285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2026-10-15T00:49:20Z</dcterms:created>
  <dc:creator>Jason Robbins</dc:creator>
  <dc:description/>
  <dc:language>en-US</dc:language>
  <cp:lastModifiedBy/>
  <dcterms:modified xsi:type="dcterms:W3CDTF">2026-10-15T00:49:21Z</dcterms:modified>
  <cp:revision>0</cp:revision>
  <dc:subject/>
  <dc:title>AI Security Risk Workbook v3.0</dc:title>
</cp:coreProperties>
</file>

<file path=docProps/custom.xml><?xml version="1.0" encoding="utf-8"?>
<Properties xmlns="http://schemas.openxmlformats.org/officeDocument/2006/custom-properties" xmlns:vt="http://schemas.openxmlformats.org/officeDocument/2006/docPropsVTypes"/>
</file>